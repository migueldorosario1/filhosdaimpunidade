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das as pesquisas" sheetId="1" state="visible" r:id="rId2"/>
    <sheet name="Principais (1 por UF)" sheetId="2" state="visible" r:id="rId3"/>
    <sheet name="Review" sheetId="3" state="visible" r:id="rId4"/>
    <sheet name="Fontes e nota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<sst xmlns="http://schemas.openxmlformats.org/spreadsheetml/2006/main" count="503" uniqueCount="140">
  <si>
    <t xml:space="preserve">Pesquisas presidenciais 2026 em Nº de eleitores × voto oficial 2022 — todas as pesquisas por UF</t>
  </si>
  <si>
    <t xml:space="preserve">UF / base</t>
  </si>
  <si>
    <t xml:space="preserve">PESQUISA 2026 — 1º TURNO</t>
  </si>
  <si>
    <t xml:space="preserve">PESQUISA 2026 — 2º TURNO</t>
  </si>
  <si>
    <t xml:space="preserve">ELEIÇÃO 2022 OFICIAL (TSE)</t>
  </si>
  <si>
    <t xml:space="preserve">Δ vs 2022</t>
  </si>
  <si>
    <t xml:space="preserve">Obs.</t>
  </si>
  <si>
    <t xml:space="preserve">UF</t>
  </si>
  <si>
    <t xml:space="preserve">Pesquisa (instituto · data)</t>
  </si>
  <si>
    <t xml:space="preserve">Eleitorado 2026
(aptos TSE)</t>
  </si>
  <si>
    <t xml:space="preserve">Lula %
1ºT</t>
  </si>
  <si>
    <t xml:space="preserve">Lula N
1ºT</t>
  </si>
  <si>
    <t xml:space="preserve">Flávio N
1ºT</t>
  </si>
  <si>
    <t xml:space="preserve">Flávio %
1ºT</t>
  </si>
  <si>
    <t xml:space="preserve">Outros N
1ºT</t>
  </si>
  <si>
    <t xml:space="preserve">Outros %
1ºT</t>
  </si>
  <si>
    <t xml:space="preserve">B/N N
1ºT</t>
  </si>
  <si>
    <t xml:space="preserve">B/N %
1ºT</t>
  </si>
  <si>
    <t xml:space="preserve">Indec. N
1ºT</t>
  </si>
  <si>
    <t xml:space="preserve">Indec. %
1ºT</t>
  </si>
  <si>
    <t xml:space="preserve">Lula N
2ºT</t>
  </si>
  <si>
    <t xml:space="preserve">Lula %
2ºT</t>
  </si>
  <si>
    <t xml:space="preserve">Flávio N
2ºT</t>
  </si>
  <si>
    <t xml:space="preserve">Flávio %
2ºT</t>
  </si>
  <si>
    <t xml:space="preserve">Aptos 2022
(1ºT)</t>
  </si>
  <si>
    <t xml:space="preserve">Lula 2022 1ºT
votos</t>
  </si>
  <si>
    <t xml:space="preserve">Lula 2022 1ºT
% aptos</t>
  </si>
  <si>
    <t xml:space="preserve">Bolsonaro 2022 1ºT
votos</t>
  </si>
  <si>
    <t xml:space="preserve">Bolsonaro 2022 1ºT
% aptos</t>
  </si>
  <si>
    <t xml:space="preserve">Lula 2022 2ºT
votos</t>
  </si>
  <si>
    <t xml:space="preserve">Lula 2022 2ºT
% aptos</t>
  </si>
  <si>
    <t xml:space="preserve">Bolsonaro 2022 2ºT
votos</t>
  </si>
  <si>
    <t xml:space="preserve">Bolsonaro 2022 2ºT
% aptos</t>
  </si>
  <si>
    <t xml:space="preserve">Δ Lula N
(pesq − 2022)</t>
  </si>
  <si>
    <t xml:space="preserve">Nota</t>
  </si>
  <si>
    <t xml:space="preserve">AC</t>
  </si>
  <si>
    <t xml:space="preserve">★ Data Control 24/08</t>
  </si>
  <si>
    <t xml:space="preserve">—</t>
  </si>
  <si>
    <t xml:space="preserve">ac24horas; soma=99,7% (arred. instituto)</t>
  </si>
  <si>
    <t xml:space="preserve">AL</t>
  </si>
  <si>
    <t xml:space="preserve">★ Quaest 24/08</t>
  </si>
  <si>
    <t xml:space="preserve">soma=101% (arred. instituto)</t>
  </si>
  <si>
    <t xml:space="preserve">AM</t>
  </si>
  <si>
    <t xml:space="preserve">★ Quaest 25/08</t>
  </si>
  <si>
    <t xml:space="preserve">único cenário publicado é COM Marçal (2% nele, dentro de Outros)</t>
  </si>
  <si>
    <t xml:space="preserve">AP</t>
  </si>
  <si>
    <t xml:space="preserve">BA</t>
  </si>
  <si>
    <t xml:space="preserve">★ OPNUS/BNews 24/08</t>
  </si>
  <si>
    <t xml:space="preserve">soma=98% (arred. instituto)</t>
  </si>
  <si>
    <t xml:space="preserve">CE</t>
  </si>
  <si>
    <t xml:space="preserve">★ Real Time 20/08</t>
  </si>
  <si>
    <t xml:space="preserve">única presidencial do CE; Datafolha-CE 13/08 não testou presidente</t>
  </si>
  <si>
    <t xml:space="preserve">DF</t>
  </si>
  <si>
    <t xml:space="preserve">Caiado 13% (dentro de Outros)</t>
  </si>
  <si>
    <t xml:space="preserve">Datafolha 21/08</t>
  </si>
  <si>
    <t xml:space="preserve">ES</t>
  </si>
  <si>
    <t xml:space="preserve">★ Quaest jul/26</t>
  </si>
  <si>
    <t xml:space="preserve">só Zema 3 + Renan 3 publicados; B/N e indecisos não divulgados (restante 34% não detalhado)</t>
  </si>
  <si>
    <t xml:space="preserve">Real Time 22/07</t>
  </si>
  <si>
    <t xml:space="preserve">campo 20–21/06</t>
  </si>
  <si>
    <t xml:space="preserve">GO</t>
  </si>
  <si>
    <t xml:space="preserve">★ Real Time 09/07</t>
  </si>
  <si>
    <t xml:space="preserve">CAIADO LIDERA o 1ºT com 37% (dentro de Outros); pesquisa mais antiga da tabela</t>
  </si>
  <si>
    <t xml:space="preserve">MA</t>
  </si>
  <si>
    <t xml:space="preserve">MG</t>
  </si>
  <si>
    <t xml:space="preserve">Datafolha 21/08 (recorte)</t>
  </si>
  <si>
    <t xml:space="preserve">só Zema 10 publicado; restante 22% não detalhado</t>
  </si>
  <si>
    <t xml:space="preserve">MS</t>
  </si>
  <si>
    <t xml:space="preserve">MT</t>
  </si>
  <si>
    <t xml:space="preserve">PA</t>
  </si>
  <si>
    <t xml:space="preserve">★ Veritá 25/08</t>
  </si>
  <si>
    <t xml:space="preserve">Renan 5,6 publicado; restante 5,6% não detalhado; base dos % não esclarecida pela matéria</t>
  </si>
  <si>
    <t xml:space="preserve">PB</t>
  </si>
  <si>
    <t xml:space="preserve">Real Time 24/08</t>
  </si>
  <si>
    <t xml:space="preserve">PE</t>
  </si>
  <si>
    <t xml:space="preserve">restante 20% não detalhado</t>
  </si>
  <si>
    <t xml:space="preserve">PI</t>
  </si>
  <si>
    <t xml:space="preserve">★ Datafolha 22/08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</si>
  <si>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</si>
  <si>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</si>
  <si>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</si>
  <si>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</si>
  <si>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</si>
  <si>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★ Veritá mar/26</t>
  </si>
  <si>
    <t xml:space="preserve">restante 8,1% não detalhado; única presidencial de RR</t>
  </si>
  <si>
    <t xml:space="preserve">RS</t>
  </si>
  <si>
    <t xml:space="preserve">Real Time 25/08</t>
  </si>
  <si>
    <t xml:space="preserve">SC</t>
  </si>
  <si>
    <t xml:space="preserve">SE</t>
  </si>
  <si>
    <t xml:space="preserve">★ Real Time 03/08</t>
  </si>
  <si>
    <t xml:space="preserve">cenário presidencial registrado à parte (BR-07696/2026); Renan 5, Caiado 3 (dentro de Outros)</t>
  </si>
  <si>
    <t xml:space="preserve">IFP 09-10/07</t>
  </si>
  <si>
    <t xml:space="preserve">Instituto França de Pesquisas, estimulada</t>
  </si>
  <si>
    <t xml:space="preserve">SP</t>
  </si>
  <si>
    <t xml:space="preserve">soma=99% (arred. instituto)</t>
  </si>
  <si>
    <t xml:space="preserve">GERP 25/08</t>
  </si>
  <si>
    <t xml:space="preserve">B/N = 'Nenhum deles'; soma=99% (arred. instituto)</t>
  </si>
  <si>
    <t xml:space="preserve">TO</t>
  </si>
  <si>
    <t xml:space="preserve">BR</t>
  </si>
  <si>
    <t xml:space="preserve">★ BTG/Nexus 24/08</t>
  </si>
  <si>
    <t xml:space="preserve">única nacional da janela; exterior incluído no eleitorado BR</t>
  </si>
  <si>
    <t xml:space="preserve">Pesquisa principal de cada UF (Quaest › Datafolha › Real Time › demais) + Brasil</t>
  </si>
  <si>
    <t xml:space="preserve">Autochecagem da planilha</t>
  </si>
  <si>
    <t xml:space="preserve">Verificação</t>
  </si>
  <si>
    <t xml:space="preserve">Esperado</t>
  </si>
  <si>
    <t xml:space="preserve">Atual</t>
  </si>
  <si>
    <t xml:space="preserve">Status</t>
  </si>
  <si>
    <t xml:space="preserve">Soma aptos 2026 das 27 UFs (doc.: 157.828.570)</t>
  </si>
  <si>
    <t xml:space="preserve">Aptos Brasil 2026 (TSE 20/07/2026)</t>
  </si>
  <si>
    <t xml:space="preserve">Lula 2022 1ºT Brasil (oficial TSE)</t>
  </si>
  <si>
    <t xml:space="preserve">Bolsonaro 2022 2ºT Brasil (oficial TSE)</t>
  </si>
  <si>
    <t xml:space="preserve">Nº de linhas de dados (aba completa)</t>
  </si>
  <si>
    <t xml:space="preserve">Nº de linhas Principais (27 UF + 2 BR)</t>
  </si>
  <si>
    <t xml:space="preserve">Fontes, metodologia e notas de leitura</t>
  </si>
  <si>
    <t xml:space="preserve">Como ler</t>
  </si>
  <si>
    <t xml:space="preserve">Nº de eleitores</t>
  </si>
  <si>
    <t xml:space="preserve">percentual publicado × eleitorado oficial da UF (TSE, 20/07/2026), arredondado ao inteiro mais próximo. TODOS os % são sobre o TOTAL do eleitorado (nunca votos válidos).</t>
  </si>
  <si>
    <t xml:space="preserve">Δ Lula N</t>
  </si>
  <si>
    <t xml:space="preserve">N de eleitores do Lula na pesquisa (1ºT) MENOS os votos oficiais do Lula no 1ºT de 2022 (TSE). Verde = Lula acima de 2022; vermelho = abaixo.</t>
  </si>
  <si>
    <t xml:space="preserve">2022</t>
  </si>
  <si>
    <t xml:space="preserve">% de 2022 = votos oficiais ÷ eleitorado apto 2022 da UF no turno correspondente (fonte: API oficial de resultados do TSE, eleições 544 e 545). Votos por UF excluem o exterior (~139 mil votos de Lula no 1ºT ficam fora das UFs; por isso a soma das UFs &lt; Brasil).</t>
  </si>
  <si>
    <t xml:space="preserve">Aptos 2026</t>
  </si>
  <si>
    <t xml:space="preserve">TSE 20/07/2026: Brasil 158.745.463 (exterior 918.876). Por UF: coletado UF a UF de TREs/imprensa com validação cruzada (soma 157.828.570 × 157.826.587 esperado, resíduo 0,001%). Detalhes: Cérebro/Foruns/forum_eleitorado_2026_aptos_por_uf_20260826.md</t>
  </si>
  <si>
    <t xml:space="preserve">★ principal</t>
  </si>
  <si>
    <t xml:space="preserve">Hierarquia definida pelo Miguel: Quaest › Datafolha › Real Time › demais institutos.</t>
  </si>
  <si>
    <t xml:space="preserve">Linhas parciais</t>
  </si>
  <si>
    <t xml:space="preserve">PA (Veritá), RR (Veritá), ES (Quaest), MG e PE (recortes Datafolha): fonte não detalhou Outros/B/N/indecisos — essas células ficam '—' e a nota indica o restante.</t>
  </si>
  <si>
    <t xml:space="preserve">Arredondamento do instituto</t>
  </si>
  <si>
    <t xml:space="preserve">Onde a soma dos % publicados dá 98–101%, a nota da linha registra ('arred. instituto').</t>
  </si>
  <si>
    <t xml:space="preserve">Quaest publicou apenas o cenário COM Marçal.</t>
  </si>
  <si>
    <t xml:space="preserve">Real Time 09/07/2026: Caiado lidera o 1ºT com 37% (está dentro de 'Outros'). Pesquisa mais antiga da tabela.</t>
  </si>
  <si>
    <t xml:space="preserve">Nenhuma presidencial encontrada em 2026 (INOR 21/08 e Real Time 03/08 só testaram governo). Linha mantida com dados de 2022.</t>
  </si>
  <si>
    <t xml:space="preserve">2º turno</t>
  </si>
  <si>
    <t xml:space="preserve">Só existe nas linhas com valores; B/N+indecisos do 2ºT não foram pedidos (disponíveis na memória do Cérebro).</t>
  </si>
  <si>
    <t xml:space="preserve">Fontes das pesquisas</t>
  </si>
  <si>
    <t xml:space="preserve">G1 estaduais (Quaest 24–25/08), CNN Brasil e Poder360 (Real Time SP/PB/RS/CE/GO/ES, GERP-SP), PDF oficial BTG/Nexus 24/08 (static.poder360.com.br), G1 Datafolha nacional 21/08 + G1 PI 22/08 + G1 DF 22/08 + Pulso/O Globo (recortes), Jornal Grande Bahia (OPNUS-BA), ac24horas (Data Control-AC), Opinião em Pauta (Veritá-PA), roraima1 (Veritá-RR), A Gazeta-ES (Quaest-ES), Exame (Real Time-ES), CartaCapital (Real Time-GO). URLs completas: Cérebro/Memorias/memoria_pesquisas_eleitorais_24_25_agosto_2026_20260825.md</t>
  </si>
  <si>
    <t xml:space="preserve">Fontes TSE</t>
  </si>
  <si>
    <t xml:space="preserve">Resultados 2022: resultados.tse.jus.br/oficial/ele2022/{544,545}/dados-simplificados/{uf}/… (oficial, com votos absolutos). Aptos 2026: G1 nacional 20/07/2026 ('eleitorado brasileiro chega a 158,7 milhões, diz TSE') + 27 fontes estaduais.</t>
  </si>
  <si>
    <t xml:space="preserve">Gerado</t>
  </si>
  <si>
    <t xml:space="preserve">ZCode/Kimi K3 · 26/08/2026 · script: ZCodeProject/gerar_tabela_pesquisas.py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</si>
</sst>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0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2A4A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9E9E8"/>
      </patternFill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392B"/>
      </font>
      <fill>
        <patternFill>
          <bgColor rgb="FFFDEDEC"/>
        </patternFill>
      </fill>
    </dxf>
    <dxf>
      <font>
        <color rgb="FF1B7D46"/>
      </font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08080"/>
      <rgbColor rgb="FF9999FF"/>
      <rgbColor rgb="FF993366"/>
      <rgbColor rgb="FFF7F7F5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2A4A"/>
    <pageSetUpPr fitToPage="false"/>
  </sheetPr>
  <dimension ref="B1:A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21"/>
    <col collapsed="false" customWidth="true" hidden="false" outlineLevel="0" max="22" min="22" style="0" width="10"/>
    <col collapsed="false" customWidth="true" hidden="false" outlineLevel="0" max="23" min="23" style="0" width="21"/>
    <col collapsed="false" customWidth="true" hidden="false" outlineLevel="0" max="24" min="24" style="0" width="10"/>
    <col collapsed="false" customWidth="true" hidden="false" outlineLevel="0" max="25" min="25" style="0" width="21"/>
    <col collapsed="false" customWidth="true" hidden="false" outlineLevel="0" max="26" min="26" style="0" width="10"/>
    <col collapsed="false" customWidth="true" hidden="false" outlineLevel="0" max="27" min="27" style="0" width="21"/>
    <col collapsed="false" customWidth="true" hidden="false" outlineLevel="0" max="28" min="28" style="0" width="9"/>
    <col collapsed="false" customWidth="true" hidden="false" outlineLevel="0" max="29" min="29" style="0" width="26"/>
  </cols>
  <sheetData>
    <row r="1" customFormat="false" ht="15" hidden="false" customHeight="true" outlineLevel="0" collapsed="false"/>
    <row r="2" customFormat="false" ht="32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8" hidden="false" customHeight="true" outlineLevel="0" collapsed="false">
      <c r="B3" s="2" t="s">
        <v>1</v>
      </c>
      <c r="C3" s="2"/>
      <c r="D3" s="2"/>
      <c r="E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 t="s">
        <v>3</v>
      </c>
      <c r="P3" s="2"/>
      <c r="Q3" s="2"/>
      <c r="R3" s="2"/>
      <c r="S3" s="2" t="s">
        <v>4</v>
      </c>
      <c r="T3" s="2"/>
      <c r="U3" s="2"/>
      <c r="V3" s="2"/>
      <c r="W3" s="2"/>
      <c r="X3" s="2"/>
      <c r="Y3" s="2"/>
      <c r="Z3" s="2"/>
      <c r="AA3" s="2"/>
      <c r="AB3" s="3" t="s">
        <v>5</v>
      </c>
      <c r="AC3" s="3" t="s">
        <v>6</v>
      </c>
    </row>
    <row r="4" customFormat="false" ht="70" hidden="false" customHeight="true" outlineLevel="0" collapsed="false"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</row>
    <row r="5" customFormat="false" ht="38" hidden="false" customHeight="true" outlineLevel="0" collapsed="false">
      <c r="B5" s="5" t="s">
        <v>35</v>
      </c>
      <c r="C5" s="5" t="s">
        <v>36</v>
      </c>
      <c r="D5" s="6" t="n">
        <v>614375</v>
      </c>
      <c r="E5" s="7" t="n">
        <v>0.232</v>
      </c>
      <c r="F5" s="6" t="n">
        <v>142535</v>
      </c>
      <c r="G5" s="6" t="n">
        <v>304116</v>
      </c>
      <c r="H5" s="7" t="n">
        <v>0.495</v>
      </c>
      <c r="I5" s="6" t="n">
        <v>65124</v>
      </c>
      <c r="J5" s="7" t="n">
        <v>0.106</v>
      </c>
      <c r="K5" s="6" t="n">
        <v>39320</v>
      </c>
      <c r="L5" s="7" t="n">
        <v>0.064</v>
      </c>
      <c r="M5" s="6" t="n">
        <v>61438</v>
      </c>
      <c r="N5" s="7" t="n">
        <v>0.1</v>
      </c>
      <c r="O5" s="5" t="s">
        <v>37</v>
      </c>
      <c r="P5" s="5" t="s">
        <v>37</v>
      </c>
      <c r="Q5" s="5" t="s">
        <v>37</v>
      </c>
      <c r="R5" s="5" t="s">
        <v>37</v>
      </c>
      <c r="S5" s="6" t="n">
        <v>587738</v>
      </c>
      <c r="T5" s="6" t="n">
        <v>129022</v>
      </c>
      <c r="U5" s="8" t="n">
        <v>0.219522984731292</v>
      </c>
      <c r="V5" s="6" t="n">
        <v>275582</v>
      </c>
      <c r="W5" s="8" t="n">
        <v>0.468885796051982</v>
      </c>
      <c r="X5" s="6" t="n">
        <v>121566</v>
      </c>
      <c r="Y5" s="8" t="n">
        <v>0.206827558633127</v>
      </c>
      <c r="Z5" s="6" t="n">
        <v>287750</v>
      </c>
      <c r="AA5" s="8" t="n">
        <v>0.489566408343471</v>
      </c>
      <c r="AB5" s="6" t="n">
        <v>13513</v>
      </c>
      <c r="AC5" s="5" t="s">
        <v>38</v>
      </c>
    </row>
    <row r="6" customFormat="false" ht="38" hidden="false" customHeight="true" outlineLevel="0" collapsed="false">
      <c r="B6" s="9" t="s">
        <v>39</v>
      </c>
      <c r="C6" s="9" t="s">
        <v>40</v>
      </c>
      <c r="D6" s="10" t="n">
        <v>2441794</v>
      </c>
      <c r="E6" s="11" t="n">
        <v>0.44</v>
      </c>
      <c r="F6" s="10" t="n">
        <v>1074389</v>
      </c>
      <c r="G6" s="10" t="n">
        <v>708120</v>
      </c>
      <c r="H6" s="11" t="n">
        <v>0.29</v>
      </c>
      <c r="I6" s="10" t="n">
        <v>170926</v>
      </c>
      <c r="J6" s="11" t="n">
        <v>0.07</v>
      </c>
      <c r="K6" s="10" t="n">
        <v>244179</v>
      </c>
      <c r="L6" s="11" t="n">
        <v>0.1</v>
      </c>
      <c r="M6" s="10" t="n">
        <v>268597</v>
      </c>
      <c r="N6" s="11" t="n">
        <v>0.11</v>
      </c>
      <c r="O6" s="9" t="s">
        <v>37</v>
      </c>
      <c r="P6" s="9" t="s">
        <v>37</v>
      </c>
      <c r="Q6" s="9" t="s">
        <v>37</v>
      </c>
      <c r="R6" s="9" t="s">
        <v>37</v>
      </c>
      <c r="S6" s="10" t="n">
        <v>2326491</v>
      </c>
      <c r="T6" s="10" t="n">
        <v>974156</v>
      </c>
      <c r="U6" s="12" t="n">
        <v>0.418723304753812</v>
      </c>
      <c r="V6" s="10" t="n">
        <v>621515</v>
      </c>
      <c r="W6" s="12" t="n">
        <v>0.267146960809219</v>
      </c>
      <c r="X6" s="10" t="n">
        <v>976831</v>
      </c>
      <c r="Y6" s="12" t="n">
        <v>0.419995322067887</v>
      </c>
      <c r="Z6" s="10" t="n">
        <v>687827</v>
      </c>
      <c r="AA6" s="12" t="n">
        <v>0.295736030482231</v>
      </c>
      <c r="AB6" s="10" t="n">
        <v>100233</v>
      </c>
      <c r="AC6" s="9" t="s">
        <v>41</v>
      </c>
    </row>
    <row r="7" customFormat="false" ht="54" hidden="false" customHeight="true" outlineLevel="0" collapsed="false">
      <c r="B7" s="5" t="s">
        <v>42</v>
      </c>
      <c r="C7" s="5" t="s">
        <v>43</v>
      </c>
      <c r="D7" s="6" t="n">
        <v>2801182</v>
      </c>
      <c r="E7" s="7" t="n">
        <v>0.38</v>
      </c>
      <c r="F7" s="6" t="n">
        <v>1064449</v>
      </c>
      <c r="G7" s="6" t="n">
        <v>980414</v>
      </c>
      <c r="H7" s="7" t="n">
        <v>0.35</v>
      </c>
      <c r="I7" s="6" t="n">
        <v>196083</v>
      </c>
      <c r="J7" s="7" t="n">
        <v>0.07</v>
      </c>
      <c r="K7" s="6" t="n">
        <v>224095</v>
      </c>
      <c r="L7" s="7" t="n">
        <v>0.08</v>
      </c>
      <c r="M7" s="6" t="n">
        <v>336142</v>
      </c>
      <c r="N7" s="7" t="n">
        <v>0.12</v>
      </c>
      <c r="O7" s="5" t="s">
        <v>37</v>
      </c>
      <c r="P7" s="5" t="s">
        <v>37</v>
      </c>
      <c r="Q7" s="5" t="s">
        <v>37</v>
      </c>
      <c r="R7" s="5" t="s">
        <v>37</v>
      </c>
      <c r="S7" s="6" t="n">
        <v>2646924</v>
      </c>
      <c r="T7" s="6" t="n">
        <v>1019684</v>
      </c>
      <c r="U7" s="8" t="n">
        <v>0.385233576785733</v>
      </c>
      <c r="V7" s="6" t="n">
        <v>880198</v>
      </c>
      <c r="W7" s="8" t="n">
        <v>0.332536181620628</v>
      </c>
      <c r="X7" s="6" t="n">
        <v>1004991</v>
      </c>
      <c r="Y7" s="8" t="n">
        <v>0.379654062164848</v>
      </c>
      <c r="Z7" s="6" t="n">
        <v>961741</v>
      </c>
      <c r="AA7" s="8" t="n">
        <v>0.36331556939364</v>
      </c>
      <c r="AB7" s="6" t="n">
        <v>44765</v>
      </c>
      <c r="AC7" s="5" t="s">
        <v>44</v>
      </c>
    </row>
    <row r="8" customFormat="false" ht="38" hidden="false" customHeight="true" outlineLevel="0" collapsed="false">
      <c r="B8" s="9" t="s">
        <v>45</v>
      </c>
      <c r="C8" s="9" t="s">
        <v>43</v>
      </c>
      <c r="D8" s="10" t="n">
        <v>577534</v>
      </c>
      <c r="E8" s="11" t="n">
        <v>0.36</v>
      </c>
      <c r="F8" s="10" t="n">
        <v>207912</v>
      </c>
      <c r="G8" s="10" t="n">
        <v>190586</v>
      </c>
      <c r="H8" s="11" t="n">
        <v>0.33</v>
      </c>
      <c r="I8" s="10" t="n">
        <v>51978</v>
      </c>
      <c r="J8" s="11" t="n">
        <v>0.09</v>
      </c>
      <c r="K8" s="10" t="n">
        <v>46203</v>
      </c>
      <c r="L8" s="11" t="n">
        <v>0.08</v>
      </c>
      <c r="M8" s="10" t="n">
        <v>80855</v>
      </c>
      <c r="N8" s="11" t="n">
        <v>0.14</v>
      </c>
      <c r="O8" s="9" t="s">
        <v>37</v>
      </c>
      <c r="P8" s="9" t="s">
        <v>37</v>
      </c>
      <c r="Q8" s="9" t="s">
        <v>37</v>
      </c>
      <c r="R8" s="9" t="s">
        <v>37</v>
      </c>
      <c r="S8" s="10" t="n">
        <v>550165</v>
      </c>
      <c r="T8" s="10" t="n">
        <v>197382</v>
      </c>
      <c r="U8" s="12" t="n">
        <v>0.358768733016459</v>
      </c>
      <c r="V8" s="10" t="n">
        <v>187621</v>
      </c>
      <c r="W8" s="12" t="n">
        <v>0.341026782874229</v>
      </c>
      <c r="X8" s="10" t="n">
        <v>189918</v>
      </c>
      <c r="Y8" s="12" t="n">
        <v>0.345223228649176</v>
      </c>
      <c r="Z8" s="10" t="n">
        <v>200547</v>
      </c>
      <c r="AA8" s="12" t="n">
        <v>0.364544081318813</v>
      </c>
      <c r="AB8" s="10" t="n">
        <v>10530</v>
      </c>
      <c r="AC8" s="9"/>
    </row>
    <row r="9" customFormat="false" ht="38" hidden="false" customHeight="true" outlineLevel="0" collapsed="false">
      <c r="B9" s="5" t="s">
        <v>46</v>
      </c>
      <c r="C9" s="5" t="s">
        <v>47</v>
      </c>
      <c r="D9" s="6" t="n">
        <v>11321005</v>
      </c>
      <c r="E9" s="7" t="n">
        <v>0.6</v>
      </c>
      <c r="F9" s="6" t="n">
        <v>6792603</v>
      </c>
      <c r="G9" s="6" t="n">
        <v>1924571</v>
      </c>
      <c r="H9" s="7" t="n">
        <v>0.17</v>
      </c>
      <c r="I9" s="6" t="n">
        <v>792470</v>
      </c>
      <c r="J9" s="7" t="n">
        <v>0.07</v>
      </c>
      <c r="K9" s="6" t="n">
        <v>679260</v>
      </c>
      <c r="L9" s="7" t="n">
        <v>0.06</v>
      </c>
      <c r="M9" s="6" t="n">
        <v>905680</v>
      </c>
      <c r="N9" s="7" t="n">
        <v>0.08</v>
      </c>
      <c r="O9" s="5" t="s">
        <v>37</v>
      </c>
      <c r="P9" s="5" t="s">
        <v>37</v>
      </c>
      <c r="Q9" s="5" t="s">
        <v>37</v>
      </c>
      <c r="R9" s="5" t="s">
        <v>37</v>
      </c>
      <c r="S9" s="6" t="n">
        <v>11283405</v>
      </c>
      <c r="T9" s="6" t="n">
        <v>5873081</v>
      </c>
      <c r="U9" s="8" t="n">
        <v>0.520506088366056</v>
      </c>
      <c r="V9" s="6" t="n">
        <v>2047599</v>
      </c>
      <c r="W9" s="8" t="n">
        <v>0.181469955212988</v>
      </c>
      <c r="X9" s="6" t="n">
        <v>6097815</v>
      </c>
      <c r="Y9" s="8" t="n">
        <v>0.540442749308052</v>
      </c>
      <c r="Z9" s="6" t="n">
        <v>2357028</v>
      </c>
      <c r="AA9" s="8" t="n">
        <v>0.208900842763524</v>
      </c>
      <c r="AB9" s="6" t="n">
        <v>919522</v>
      </c>
      <c r="AC9" s="5" t="s">
        <v>48</v>
      </c>
    </row>
    <row r="10" customFormat="false" ht="54" hidden="false" customHeight="true" outlineLevel="0" collapsed="false">
      <c r="B10" s="9" t="s">
        <v>49</v>
      </c>
      <c r="C10" s="9" t="s">
        <v>50</v>
      </c>
      <c r="D10" s="10" t="n">
        <v>6998494</v>
      </c>
      <c r="E10" s="11" t="n">
        <v>0.65</v>
      </c>
      <c r="F10" s="10" t="n">
        <v>4549021</v>
      </c>
      <c r="G10" s="10" t="n">
        <v>1469684</v>
      </c>
      <c r="H10" s="11" t="n">
        <v>0.21</v>
      </c>
      <c r="I10" s="10" t="n">
        <v>489895</v>
      </c>
      <c r="J10" s="11" t="n">
        <v>0.07</v>
      </c>
      <c r="K10" s="10" t="n">
        <v>209955</v>
      </c>
      <c r="L10" s="11" t="n">
        <v>0.03</v>
      </c>
      <c r="M10" s="10" t="n">
        <v>279940</v>
      </c>
      <c r="N10" s="11" t="n">
        <v>0.04</v>
      </c>
      <c r="O10" s="10" t="n">
        <v>4619006</v>
      </c>
      <c r="P10" s="11" t="n">
        <v>0.66</v>
      </c>
      <c r="Q10" s="10" t="n">
        <v>1889593</v>
      </c>
      <c r="R10" s="11" t="n">
        <v>0.27</v>
      </c>
      <c r="S10" s="10" t="n">
        <v>6818732</v>
      </c>
      <c r="T10" s="10" t="n">
        <v>3578355</v>
      </c>
      <c r="U10" s="12" t="n">
        <v>0.524783053506136</v>
      </c>
      <c r="V10" s="10" t="n">
        <v>1377827</v>
      </c>
      <c r="W10" s="12" t="n">
        <v>0.202064988035899</v>
      </c>
      <c r="X10" s="10" t="n">
        <v>3807891</v>
      </c>
      <c r="Y10" s="12" t="n">
        <v>0.558489845988497</v>
      </c>
      <c r="Z10" s="10" t="n">
        <v>1634477</v>
      </c>
      <c r="AA10" s="12" t="n">
        <v>0.239722935347083</v>
      </c>
      <c r="AB10" s="10" t="n">
        <v>970666</v>
      </c>
      <c r="AC10" s="9" t="s">
        <v>51</v>
      </c>
    </row>
    <row r="11" customFormat="false" ht="38" hidden="false" customHeight="true" outlineLevel="0" collapsed="false">
      <c r="B11" s="5" t="s">
        <v>52</v>
      </c>
      <c r="C11" s="5" t="s">
        <v>43</v>
      </c>
      <c r="D11" s="6" t="n">
        <v>2253132</v>
      </c>
      <c r="E11" s="7" t="n">
        <v>0.28</v>
      </c>
      <c r="F11" s="6" t="n">
        <v>630877</v>
      </c>
      <c r="G11" s="6" t="n">
        <v>585814</v>
      </c>
      <c r="H11" s="7" t="n">
        <v>0.26</v>
      </c>
      <c r="I11" s="6" t="n">
        <v>540752</v>
      </c>
      <c r="J11" s="7" t="n">
        <v>0.24</v>
      </c>
      <c r="K11" s="6" t="n">
        <v>225313</v>
      </c>
      <c r="L11" s="7" t="n">
        <v>0.1</v>
      </c>
      <c r="M11" s="6" t="n">
        <v>270376</v>
      </c>
      <c r="N11" s="7" t="n">
        <v>0.12</v>
      </c>
      <c r="O11" s="5" t="s">
        <v>37</v>
      </c>
      <c r="P11" s="5" t="s">
        <v>37</v>
      </c>
      <c r="Q11" s="5" t="s">
        <v>37</v>
      </c>
      <c r="R11" s="5" t="s">
        <v>37</v>
      </c>
      <c r="S11" s="6" t="n">
        <v>2206996</v>
      </c>
      <c r="T11" s="6" t="n">
        <v>649534</v>
      </c>
      <c r="U11" s="8" t="n">
        <v>0.294306831548403</v>
      </c>
      <c r="V11" s="6" t="n">
        <v>910397</v>
      </c>
      <c r="W11" s="8" t="n">
        <v>0.412505052116089</v>
      </c>
      <c r="X11" s="6" t="n">
        <v>729295</v>
      </c>
      <c r="Y11" s="8" t="n">
        <v>0.330352305732669</v>
      </c>
      <c r="Z11" s="6" t="n">
        <v>1041331</v>
      </c>
      <c r="AA11" s="8" t="n">
        <v>0.471696771376337</v>
      </c>
      <c r="AB11" s="6" t="n">
        <v>-18657</v>
      </c>
      <c r="AC11" s="5" t="s">
        <v>53</v>
      </c>
    </row>
    <row r="12" customFormat="false" ht="38" hidden="false" customHeight="true" outlineLevel="0" collapsed="false">
      <c r="B12" s="9" t="s">
        <v>52</v>
      </c>
      <c r="C12" s="9" t="s">
        <v>54</v>
      </c>
      <c r="D12" s="10" t="n">
        <v>2253132</v>
      </c>
      <c r="E12" s="11" t="n">
        <v>0.31</v>
      </c>
      <c r="F12" s="10" t="n">
        <v>698471</v>
      </c>
      <c r="G12" s="10" t="n">
        <v>878721</v>
      </c>
      <c r="H12" s="11" t="n">
        <v>0.39</v>
      </c>
      <c r="I12" s="10" t="n">
        <v>405564</v>
      </c>
      <c r="J12" s="11" t="n">
        <v>0.18</v>
      </c>
      <c r="K12" s="10" t="n">
        <v>157719</v>
      </c>
      <c r="L12" s="11" t="n">
        <v>0.07</v>
      </c>
      <c r="M12" s="10" t="n">
        <v>67594</v>
      </c>
      <c r="N12" s="11" t="n">
        <v>0.03</v>
      </c>
      <c r="O12" s="10" t="n">
        <v>878721</v>
      </c>
      <c r="P12" s="11" t="n">
        <v>0.39</v>
      </c>
      <c r="Q12" s="10" t="n">
        <v>1149097</v>
      </c>
      <c r="R12" s="11" t="n">
        <v>0.51</v>
      </c>
      <c r="S12" s="10" t="n">
        <v>2206996</v>
      </c>
      <c r="T12" s="10" t="n">
        <v>649534</v>
      </c>
      <c r="U12" s="12" t="n">
        <v>0.294306831548403</v>
      </c>
      <c r="V12" s="10" t="n">
        <v>910397</v>
      </c>
      <c r="W12" s="12" t="n">
        <v>0.412505052116089</v>
      </c>
      <c r="X12" s="10" t="n">
        <v>729295</v>
      </c>
      <c r="Y12" s="12" t="n">
        <v>0.330352305732669</v>
      </c>
      <c r="Z12" s="10" t="n">
        <v>1041331</v>
      </c>
      <c r="AA12" s="12" t="n">
        <v>0.471696771376337</v>
      </c>
      <c r="AB12" s="10" t="n">
        <v>48937</v>
      </c>
      <c r="AC12" s="9" t="s">
        <v>48</v>
      </c>
    </row>
    <row r="13" customFormat="false" ht="70" hidden="false" customHeight="true" outlineLevel="0" collapsed="false">
      <c r="B13" s="5" t="s">
        <v>55</v>
      </c>
      <c r="C13" s="5" t="s">
        <v>56</v>
      </c>
      <c r="D13" s="6" t="n">
        <v>2990490</v>
      </c>
      <c r="E13" s="7" t="n">
        <v>0.3</v>
      </c>
      <c r="F13" s="6" t="n">
        <v>897147</v>
      </c>
      <c r="G13" s="6" t="n">
        <v>897147</v>
      </c>
      <c r="H13" s="7" t="n">
        <v>0.3</v>
      </c>
      <c r="I13" s="5" t="s">
        <v>37</v>
      </c>
      <c r="J13" s="5" t="s">
        <v>37</v>
      </c>
      <c r="K13" s="5" t="s">
        <v>37</v>
      </c>
      <c r="L13" s="5" t="s">
        <v>37</v>
      </c>
      <c r="M13" s="5" t="s">
        <v>37</v>
      </c>
      <c r="N13" s="5" t="s">
        <v>37</v>
      </c>
      <c r="O13" s="6" t="n">
        <v>1076576</v>
      </c>
      <c r="P13" s="7" t="n">
        <v>0.36</v>
      </c>
      <c r="Q13" s="6" t="n">
        <v>1256006</v>
      </c>
      <c r="R13" s="7" t="n">
        <v>0.42</v>
      </c>
      <c r="S13" s="6" t="n">
        <v>2922379</v>
      </c>
      <c r="T13" s="6" t="n">
        <v>897348</v>
      </c>
      <c r="U13" s="8" t="n">
        <v>0.307060788487735</v>
      </c>
      <c r="V13" s="6" t="n">
        <v>1160030</v>
      </c>
      <c r="W13" s="8" t="n">
        <v>0.396947144774856</v>
      </c>
      <c r="X13" s="6" t="n">
        <v>926767</v>
      </c>
      <c r="Y13" s="8" t="n">
        <v>0.317140066742772</v>
      </c>
      <c r="Z13" s="6" t="n">
        <v>1282145</v>
      </c>
      <c r="AA13" s="8" t="n">
        <v>0.43875057147472</v>
      </c>
      <c r="AB13" s="6" t="n">
        <v>-201</v>
      </c>
      <c r="AC13" s="5" t="s">
        <v>57</v>
      </c>
    </row>
    <row r="14" customFormat="false" ht="38" hidden="false" customHeight="true" outlineLevel="0" collapsed="false">
      <c r="B14" s="9" t="s">
        <v>55</v>
      </c>
      <c r="C14" s="9" t="s">
        <v>58</v>
      </c>
      <c r="D14" s="10" t="n">
        <v>2990490</v>
      </c>
      <c r="E14" s="11" t="n">
        <v>0.34</v>
      </c>
      <c r="F14" s="10" t="n">
        <v>1016767</v>
      </c>
      <c r="G14" s="10" t="n">
        <v>1076576</v>
      </c>
      <c r="H14" s="11" t="n">
        <v>0.36</v>
      </c>
      <c r="I14" s="10" t="n">
        <v>508383</v>
      </c>
      <c r="J14" s="11" t="n">
        <v>0.17</v>
      </c>
      <c r="K14" s="10" t="n">
        <v>239239</v>
      </c>
      <c r="L14" s="11" t="n">
        <v>0.08</v>
      </c>
      <c r="M14" s="10" t="n">
        <v>149525</v>
      </c>
      <c r="N14" s="11" t="n">
        <v>0.05</v>
      </c>
      <c r="O14" s="10" t="n">
        <v>1285911</v>
      </c>
      <c r="P14" s="11" t="n">
        <v>0.43</v>
      </c>
      <c r="Q14" s="10" t="n">
        <v>1465340</v>
      </c>
      <c r="R14" s="11" t="n">
        <v>0.49</v>
      </c>
      <c r="S14" s="10" t="n">
        <v>2922379</v>
      </c>
      <c r="T14" s="10" t="n">
        <v>897348</v>
      </c>
      <c r="U14" s="12" t="n">
        <v>0.307060788487735</v>
      </c>
      <c r="V14" s="10" t="n">
        <v>1160030</v>
      </c>
      <c r="W14" s="12" t="n">
        <v>0.396947144774856</v>
      </c>
      <c r="X14" s="10" t="n">
        <v>926767</v>
      </c>
      <c r="Y14" s="12" t="n">
        <v>0.317140066742772</v>
      </c>
      <c r="Z14" s="10" t="n">
        <v>1282145</v>
      </c>
      <c r="AA14" s="12" t="n">
        <v>0.43875057147472</v>
      </c>
      <c r="AB14" s="10" t="n">
        <v>119419</v>
      </c>
      <c r="AC14" s="9" t="s">
        <v>59</v>
      </c>
    </row>
    <row r="15" customFormat="false" ht="70" hidden="false" customHeight="true" outlineLevel="0" collapsed="false">
      <c r="B15" s="5" t="s">
        <v>60</v>
      </c>
      <c r="C15" s="5" t="s">
        <v>61</v>
      </c>
      <c r="D15" s="6" t="n">
        <v>5081043</v>
      </c>
      <c r="E15" s="7" t="n">
        <v>0.27</v>
      </c>
      <c r="F15" s="6" t="n">
        <v>1371882</v>
      </c>
      <c r="G15" s="6" t="n">
        <v>1270261</v>
      </c>
      <c r="H15" s="7" t="n">
        <v>0.25</v>
      </c>
      <c r="I15" s="6" t="n">
        <v>2286469</v>
      </c>
      <c r="J15" s="7" t="n">
        <v>0.45</v>
      </c>
      <c r="K15" s="6" t="n">
        <v>101621</v>
      </c>
      <c r="L15" s="7" t="n">
        <v>0.02</v>
      </c>
      <c r="M15" s="6" t="n">
        <v>50810</v>
      </c>
      <c r="N15" s="7" t="n">
        <v>0.01</v>
      </c>
      <c r="O15" s="6" t="n">
        <v>1676744</v>
      </c>
      <c r="P15" s="7" t="n">
        <v>0.33</v>
      </c>
      <c r="Q15" s="6" t="n">
        <v>2845384</v>
      </c>
      <c r="R15" s="7" t="n">
        <v>0.56</v>
      </c>
      <c r="S15" s="6" t="n">
        <v>4870292</v>
      </c>
      <c r="T15" s="6" t="n">
        <v>1454723</v>
      </c>
      <c r="U15" s="8" t="n">
        <v>0.29869317897161</v>
      </c>
      <c r="V15" s="6" t="n">
        <v>1920203</v>
      </c>
      <c r="W15" s="8" t="n">
        <v>0.394268557203552</v>
      </c>
      <c r="X15" s="6" t="n">
        <v>1542115</v>
      </c>
      <c r="Y15" s="8" t="n">
        <v>0.31661568411913</v>
      </c>
      <c r="Z15" s="6" t="n">
        <v>2193041</v>
      </c>
      <c r="AA15" s="8" t="n">
        <v>0.4502590121465</v>
      </c>
      <c r="AB15" s="6" t="n">
        <v>-82841</v>
      </c>
      <c r="AC15" s="5" t="s">
        <v>62</v>
      </c>
    </row>
    <row r="16" customFormat="false" ht="38" hidden="false" customHeight="true" outlineLevel="0" collapsed="false">
      <c r="B16" s="9" t="s">
        <v>63</v>
      </c>
      <c r="C16" s="9" t="s">
        <v>40</v>
      </c>
      <c r="D16" s="10" t="n">
        <v>5186562</v>
      </c>
      <c r="E16" s="11" t="n">
        <v>0.58</v>
      </c>
      <c r="F16" s="10" t="n">
        <v>3008206</v>
      </c>
      <c r="G16" s="10" t="n">
        <v>1037312</v>
      </c>
      <c r="H16" s="11" t="n">
        <v>0.2</v>
      </c>
      <c r="I16" s="10" t="n">
        <v>311194</v>
      </c>
      <c r="J16" s="11" t="n">
        <v>0.06</v>
      </c>
      <c r="K16" s="10" t="n">
        <v>259328</v>
      </c>
      <c r="L16" s="11" t="n">
        <v>0.05</v>
      </c>
      <c r="M16" s="10" t="n">
        <v>570522</v>
      </c>
      <c r="N16" s="11" t="n">
        <v>0.11</v>
      </c>
      <c r="O16" s="9" t="s">
        <v>37</v>
      </c>
      <c r="P16" s="9" t="s">
        <v>37</v>
      </c>
      <c r="Q16" s="9" t="s">
        <v>37</v>
      </c>
      <c r="R16" s="9" t="s">
        <v>37</v>
      </c>
      <c r="S16" s="10" t="n">
        <v>5039287</v>
      </c>
      <c r="T16" s="10" t="n">
        <v>2603454</v>
      </c>
      <c r="U16" s="12" t="n">
        <v>0.516631420278305</v>
      </c>
      <c r="V16" s="10" t="n">
        <v>983861</v>
      </c>
      <c r="W16" s="12" t="n">
        <v>0.195238135871206</v>
      </c>
      <c r="X16" s="10" t="n">
        <v>2668425</v>
      </c>
      <c r="Y16" s="12" t="n">
        <v>0.529522214066339</v>
      </c>
      <c r="Z16" s="10" t="n">
        <v>1082749</v>
      </c>
      <c r="AA16" s="12" t="n">
        <v>0.214860694139095</v>
      </c>
      <c r="AB16" s="10" t="n">
        <v>404752</v>
      </c>
      <c r="AC16" s="9"/>
    </row>
    <row r="17" customFormat="false" ht="38" hidden="false" customHeight="true" outlineLevel="0" collapsed="false">
      <c r="B17" s="5" t="s">
        <v>64</v>
      </c>
      <c r="C17" s="5" t="s">
        <v>43</v>
      </c>
      <c r="D17" s="6" t="n">
        <v>16377659</v>
      </c>
      <c r="E17" s="7" t="n">
        <v>0.3</v>
      </c>
      <c r="F17" s="6" t="n">
        <v>4913298</v>
      </c>
      <c r="G17" s="6" t="n">
        <v>5077074</v>
      </c>
      <c r="H17" s="7" t="n">
        <v>0.31</v>
      </c>
      <c r="I17" s="6" t="n">
        <v>2292872</v>
      </c>
      <c r="J17" s="7" t="n">
        <v>0.14</v>
      </c>
      <c r="K17" s="6" t="n">
        <v>1310213</v>
      </c>
      <c r="L17" s="7" t="n">
        <v>0.08</v>
      </c>
      <c r="M17" s="6" t="n">
        <v>2784202</v>
      </c>
      <c r="N17" s="7" t="n">
        <v>0.17</v>
      </c>
      <c r="O17" s="5" t="s">
        <v>37</v>
      </c>
      <c r="P17" s="5" t="s">
        <v>37</v>
      </c>
      <c r="Q17" s="5" t="s">
        <v>37</v>
      </c>
      <c r="R17" s="5" t="s">
        <v>37</v>
      </c>
      <c r="S17" s="6" t="n">
        <v>16283828</v>
      </c>
      <c r="T17" s="6" t="n">
        <v>5802571</v>
      </c>
      <c r="U17" s="8" t="n">
        <v>0.356339492163636</v>
      </c>
      <c r="V17" s="6" t="n">
        <v>5239264</v>
      </c>
      <c r="W17" s="8" t="n">
        <v>0.321746459124967</v>
      </c>
      <c r="X17" s="6" t="n">
        <v>6190960</v>
      </c>
      <c r="Y17" s="8" t="n">
        <v>0.380172328298827</v>
      </c>
      <c r="Z17" s="6" t="n">
        <v>6141310</v>
      </c>
      <c r="AA17" s="8" t="n">
        <v>0.377123438288225</v>
      </c>
      <c r="AB17" s="6" t="n">
        <v>-889273</v>
      </c>
      <c r="AC17" s="5"/>
    </row>
    <row r="18" customFormat="false" ht="54" hidden="false" customHeight="true" outlineLevel="0" collapsed="false">
      <c r="B18" s="9" t="s">
        <v>64</v>
      </c>
      <c r="C18" s="9" t="s">
        <v>65</v>
      </c>
      <c r="D18" s="10" t="n">
        <v>16377659</v>
      </c>
      <c r="E18" s="11" t="n">
        <v>0.37</v>
      </c>
      <c r="F18" s="10" t="n">
        <v>6059734</v>
      </c>
      <c r="G18" s="10" t="n">
        <v>5077074</v>
      </c>
      <c r="H18" s="11" t="n">
        <v>0.31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10" t="n">
        <v>16283828</v>
      </c>
      <c r="T18" s="10" t="n">
        <v>5802571</v>
      </c>
      <c r="U18" s="12" t="n">
        <v>0.356339492163636</v>
      </c>
      <c r="V18" s="10" t="n">
        <v>5239264</v>
      </c>
      <c r="W18" s="12" t="n">
        <v>0.321746459124967</v>
      </c>
      <c r="X18" s="10" t="n">
        <v>6190960</v>
      </c>
      <c r="Y18" s="12" t="n">
        <v>0.380172328298827</v>
      </c>
      <c r="Z18" s="10" t="n">
        <v>6141310</v>
      </c>
      <c r="AA18" s="12" t="n">
        <v>0.377123438288225</v>
      </c>
      <c r="AB18" s="10" t="n">
        <v>257163</v>
      </c>
      <c r="AC18" s="9" t="s">
        <v>66</v>
      </c>
    </row>
    <row r="19" customFormat="false" ht="22" hidden="false" customHeight="true" outlineLevel="0" collapsed="false">
      <c r="B19" s="5" t="s">
        <v>67</v>
      </c>
      <c r="C19" s="5" t="s">
        <v>43</v>
      </c>
      <c r="D19" s="6" t="n">
        <v>2024884</v>
      </c>
      <c r="E19" s="7" t="n">
        <v>0.27</v>
      </c>
      <c r="F19" s="6" t="n">
        <v>546719</v>
      </c>
      <c r="G19" s="6" t="n">
        <v>668212</v>
      </c>
      <c r="H19" s="7" t="n">
        <v>0.33</v>
      </c>
      <c r="I19" s="6" t="n">
        <v>344230</v>
      </c>
      <c r="J19" s="7" t="n">
        <v>0.17</v>
      </c>
      <c r="K19" s="6" t="n">
        <v>202488</v>
      </c>
      <c r="L19" s="7" t="n">
        <v>0.1</v>
      </c>
      <c r="M19" s="6" t="n">
        <v>263235</v>
      </c>
      <c r="N19" s="7" t="n">
        <v>0.13</v>
      </c>
      <c r="O19" s="5" t="s">
        <v>37</v>
      </c>
      <c r="P19" s="5" t="s">
        <v>37</v>
      </c>
      <c r="Q19" s="5" t="s">
        <v>37</v>
      </c>
      <c r="R19" s="5" t="s">
        <v>37</v>
      </c>
      <c r="S19" s="6" t="n">
        <v>1995932</v>
      </c>
      <c r="T19" s="6" t="n">
        <v>588323</v>
      </c>
      <c r="U19" s="8" t="n">
        <v>0.294761043963422</v>
      </c>
      <c r="V19" s="6" t="n">
        <v>794206</v>
      </c>
      <c r="W19" s="8" t="n">
        <v>0.397912353727482</v>
      </c>
      <c r="X19" s="6" t="n">
        <v>599547</v>
      </c>
      <c r="Y19" s="8" t="n">
        <v>0.300364316610773</v>
      </c>
      <c r="Z19" s="6" t="n">
        <v>880606</v>
      </c>
      <c r="AA19" s="8" t="n">
        <v>0.441170782930023</v>
      </c>
      <c r="AB19" s="6" t="n">
        <v>-41604</v>
      </c>
      <c r="AC19" s="5"/>
    </row>
    <row r="20" customFormat="false" ht="38" hidden="false" customHeight="true" outlineLevel="0" collapsed="false">
      <c r="B20" s="9" t="s">
        <v>68</v>
      </c>
      <c r="C20" s="9" t="s">
        <v>43</v>
      </c>
      <c r="D20" s="10" t="n">
        <v>2638230</v>
      </c>
      <c r="E20" s="11" t="n">
        <v>0.26</v>
      </c>
      <c r="F20" s="10" t="n">
        <v>685940</v>
      </c>
      <c r="G20" s="10" t="n">
        <v>1134439</v>
      </c>
      <c r="H20" s="11" t="n">
        <v>0.43</v>
      </c>
      <c r="I20" s="10" t="n">
        <v>290205</v>
      </c>
      <c r="J20" s="11" t="n">
        <v>0.11</v>
      </c>
      <c r="K20" s="10" t="n">
        <v>158294</v>
      </c>
      <c r="L20" s="11" t="n">
        <v>0.06</v>
      </c>
      <c r="M20" s="10" t="n">
        <v>369352</v>
      </c>
      <c r="N20" s="11" t="n">
        <v>0.14</v>
      </c>
      <c r="O20" s="9" t="s">
        <v>37</v>
      </c>
      <c r="P20" s="9" t="s">
        <v>37</v>
      </c>
      <c r="Q20" s="9" t="s">
        <v>37</v>
      </c>
      <c r="R20" s="9" t="s">
        <v>37</v>
      </c>
      <c r="S20" s="10" t="n">
        <v>2469604</v>
      </c>
      <c r="T20" s="10" t="n">
        <v>633748</v>
      </c>
      <c r="U20" s="12" t="n">
        <v>0.256619279852154</v>
      </c>
      <c r="V20" s="10" t="n">
        <v>1102866</v>
      </c>
      <c r="W20" s="12" t="n">
        <v>0.446576050249352</v>
      </c>
      <c r="X20" s="10" t="n">
        <v>652786</v>
      </c>
      <c r="Y20" s="12" t="n">
        <v>0.26430755240208</v>
      </c>
      <c r="Z20" s="10" t="n">
        <v>1216730</v>
      </c>
      <c r="AA20" s="12" t="n">
        <v>0.492643727399458</v>
      </c>
      <c r="AB20" s="10" t="n">
        <v>52192</v>
      </c>
      <c r="AC20" s="9"/>
    </row>
    <row r="21" customFormat="false" ht="70" hidden="false" customHeight="true" outlineLevel="0" collapsed="false">
      <c r="B21" s="5" t="s">
        <v>69</v>
      </c>
      <c r="C21" s="5" t="s">
        <v>70</v>
      </c>
      <c r="D21" s="6" t="n">
        <v>6265355</v>
      </c>
      <c r="E21" s="7" t="n">
        <v>0.442</v>
      </c>
      <c r="F21" s="6" t="n">
        <v>2769287</v>
      </c>
      <c r="G21" s="6" t="n">
        <v>2794348</v>
      </c>
      <c r="H21" s="7" t="n">
        <v>0.446</v>
      </c>
      <c r="I21" s="5" t="s">
        <v>37</v>
      </c>
      <c r="J21" s="5" t="s">
        <v>37</v>
      </c>
      <c r="K21" s="5" t="s">
        <v>37</v>
      </c>
      <c r="L21" s="5" t="s">
        <v>37</v>
      </c>
      <c r="M21" s="5" t="s">
        <v>37</v>
      </c>
      <c r="N21" s="5" t="s">
        <v>37</v>
      </c>
      <c r="O21" s="6" t="n">
        <v>3076289</v>
      </c>
      <c r="P21" s="7" t="n">
        <v>0.491</v>
      </c>
      <c r="Q21" s="6" t="n">
        <v>3189066</v>
      </c>
      <c r="R21" s="7" t="n">
        <v>0.509</v>
      </c>
      <c r="S21" s="6" t="n">
        <v>6079280</v>
      </c>
      <c r="T21" s="6" t="n">
        <v>2443730</v>
      </c>
      <c r="U21" s="8" t="n">
        <v>0.401976878840915</v>
      </c>
      <c r="V21" s="6" t="n">
        <v>1884673</v>
      </c>
      <c r="W21" s="8" t="n">
        <v>0.310015824242344</v>
      </c>
      <c r="X21" s="6" t="n">
        <v>2509084</v>
      </c>
      <c r="Y21" s="8" t="n">
        <v>0.412755884864539</v>
      </c>
      <c r="Z21" s="6" t="n">
        <v>2073895</v>
      </c>
      <c r="AA21" s="8" t="n">
        <v>0.341165288145452</v>
      </c>
      <c r="AB21" s="6" t="n">
        <v>325557</v>
      </c>
      <c r="AC21" s="5" t="s">
        <v>71</v>
      </c>
    </row>
    <row r="22" customFormat="false" ht="38" hidden="false" customHeight="true" outlineLevel="0" collapsed="false">
      <c r="B22" s="9" t="s">
        <v>72</v>
      </c>
      <c r="C22" s="9" t="s">
        <v>43</v>
      </c>
      <c r="D22" s="10" t="n">
        <v>3247397</v>
      </c>
      <c r="E22" s="11" t="n">
        <v>0.5</v>
      </c>
      <c r="F22" s="10" t="n">
        <v>1623699</v>
      </c>
      <c r="G22" s="10" t="n">
        <v>681953</v>
      </c>
      <c r="H22" s="11" t="n">
        <v>0.21</v>
      </c>
      <c r="I22" s="10" t="n">
        <v>292266</v>
      </c>
      <c r="J22" s="11" t="n">
        <v>0.09</v>
      </c>
      <c r="K22" s="10" t="n">
        <v>422162</v>
      </c>
      <c r="L22" s="11" t="n">
        <v>0.13</v>
      </c>
      <c r="M22" s="10" t="n">
        <v>259792</v>
      </c>
      <c r="N22" s="11" t="n">
        <v>0.08</v>
      </c>
      <c r="O22" s="9" t="s">
        <v>37</v>
      </c>
      <c r="P22" s="9" t="s">
        <v>37</v>
      </c>
      <c r="Q22" s="9" t="s">
        <v>37</v>
      </c>
      <c r="R22" s="9" t="s">
        <v>37</v>
      </c>
      <c r="S22" s="10" t="n">
        <v>3092053</v>
      </c>
      <c r="T22" s="10" t="n">
        <v>1554868</v>
      </c>
      <c r="U22" s="12" t="n">
        <v>0.502859427053805</v>
      </c>
      <c r="V22" s="10" t="n">
        <v>717416</v>
      </c>
      <c r="W22" s="12" t="n">
        <v>0.23201930885402</v>
      </c>
      <c r="X22" s="10" t="n">
        <v>1601953</v>
      </c>
      <c r="Y22" s="12" t="n">
        <v>0.51814314302173</v>
      </c>
      <c r="Z22" s="10" t="n">
        <v>802502</v>
      </c>
      <c r="AA22" s="12" t="n">
        <v>0.259564986339315</v>
      </c>
      <c r="AB22" s="10" t="n">
        <v>68831</v>
      </c>
      <c r="AC22" s="9" t="s">
        <v>41</v>
      </c>
    </row>
    <row r="23" customFormat="false" ht="38" hidden="false" customHeight="true" outlineLevel="0" collapsed="false">
      <c r="B23" s="5" t="s">
        <v>72</v>
      </c>
      <c r="C23" s="5" t="s">
        <v>73</v>
      </c>
      <c r="D23" s="6" t="n">
        <v>3247397</v>
      </c>
      <c r="E23" s="7" t="n">
        <v>0.55</v>
      </c>
      <c r="F23" s="6" t="n">
        <v>1786068</v>
      </c>
      <c r="G23" s="6" t="n">
        <v>844323</v>
      </c>
      <c r="H23" s="7" t="n">
        <v>0.26</v>
      </c>
      <c r="I23" s="6" t="n">
        <v>389688</v>
      </c>
      <c r="J23" s="7" t="n">
        <v>0.12</v>
      </c>
      <c r="K23" s="6" t="n">
        <v>97422</v>
      </c>
      <c r="L23" s="7" t="n">
        <v>0.03</v>
      </c>
      <c r="M23" s="6" t="n">
        <v>129896</v>
      </c>
      <c r="N23" s="7" t="n">
        <v>0.04</v>
      </c>
      <c r="O23" s="6" t="n">
        <v>1915964</v>
      </c>
      <c r="P23" s="7" t="n">
        <v>0.59</v>
      </c>
      <c r="Q23" s="6" t="n">
        <v>1039167</v>
      </c>
      <c r="R23" s="7" t="n">
        <v>0.32</v>
      </c>
      <c r="S23" s="6" t="n">
        <v>3092053</v>
      </c>
      <c r="T23" s="6" t="n">
        <v>1554868</v>
      </c>
      <c r="U23" s="8" t="n">
        <v>0.502859427053805</v>
      </c>
      <c r="V23" s="6" t="n">
        <v>717416</v>
      </c>
      <c r="W23" s="8" t="n">
        <v>0.23201930885402</v>
      </c>
      <c r="X23" s="6" t="n">
        <v>1601953</v>
      </c>
      <c r="Y23" s="8" t="n">
        <v>0.51814314302173</v>
      </c>
      <c r="Z23" s="6" t="n">
        <v>802502</v>
      </c>
      <c r="AA23" s="8" t="n">
        <v>0.259564986339315</v>
      </c>
      <c r="AB23" s="6" t="n">
        <v>231200</v>
      </c>
      <c r="AC23" s="5"/>
    </row>
    <row r="24" customFormat="false" ht="38" hidden="false" customHeight="true" outlineLevel="0" collapsed="false">
      <c r="B24" s="9" t="s">
        <v>74</v>
      </c>
      <c r="C24" s="9" t="s">
        <v>43</v>
      </c>
      <c r="D24" s="10" t="n">
        <v>7225744</v>
      </c>
      <c r="E24" s="11" t="n">
        <v>0.54</v>
      </c>
      <c r="F24" s="10" t="n">
        <v>3901902</v>
      </c>
      <c r="G24" s="10" t="n">
        <v>1372891</v>
      </c>
      <c r="H24" s="11" t="n">
        <v>0.19</v>
      </c>
      <c r="I24" s="10" t="n">
        <v>505802</v>
      </c>
      <c r="J24" s="11" t="n">
        <v>0.07</v>
      </c>
      <c r="K24" s="10" t="n">
        <v>650317</v>
      </c>
      <c r="L24" s="11" t="n">
        <v>0.09</v>
      </c>
      <c r="M24" s="10" t="n">
        <v>794832</v>
      </c>
      <c r="N24" s="11" t="n">
        <v>0.11</v>
      </c>
      <c r="O24" s="9" t="s">
        <v>37</v>
      </c>
      <c r="P24" s="9" t="s">
        <v>37</v>
      </c>
      <c r="Q24" s="9" t="s">
        <v>37</v>
      </c>
      <c r="R24" s="9" t="s">
        <v>37</v>
      </c>
      <c r="S24" s="10" t="n">
        <v>7015421</v>
      </c>
      <c r="T24" s="10" t="n">
        <v>3558322</v>
      </c>
      <c r="U24" s="12" t="n">
        <v>0.507214321136251</v>
      </c>
      <c r="V24" s="10" t="n">
        <v>1630938</v>
      </c>
      <c r="W24" s="12" t="n">
        <v>0.232478991638563</v>
      </c>
      <c r="X24" s="10" t="n">
        <v>3640933</v>
      </c>
      <c r="Y24" s="12" t="n">
        <v>0.519014734815795</v>
      </c>
      <c r="Z24" s="10" t="n">
        <v>1798832</v>
      </c>
      <c r="AA24" s="12" t="n">
        <v>0.256423371003577</v>
      </c>
      <c r="AB24" s="10" t="n">
        <v>343580</v>
      </c>
      <c r="AC24" s="9"/>
    </row>
    <row r="25" customFormat="false" ht="38" hidden="false" customHeight="true" outlineLevel="0" collapsed="false">
      <c r="B25" s="5" t="s">
        <v>74</v>
      </c>
      <c r="C25" s="5" t="s">
        <v>65</v>
      </c>
      <c r="D25" s="6" t="n">
        <v>7225744</v>
      </c>
      <c r="E25" s="7" t="n">
        <v>0.56</v>
      </c>
      <c r="F25" s="6" t="n">
        <v>4046417</v>
      </c>
      <c r="G25" s="6" t="n">
        <v>1734179</v>
      </c>
      <c r="H25" s="7" t="n">
        <v>0.24</v>
      </c>
      <c r="I25" s="5" t="s">
        <v>37</v>
      </c>
      <c r="J25" s="5" t="s">
        <v>37</v>
      </c>
      <c r="K25" s="5" t="s">
        <v>37</v>
      </c>
      <c r="L25" s="5" t="s">
        <v>37</v>
      </c>
      <c r="M25" s="5" t="s">
        <v>37</v>
      </c>
      <c r="N25" s="5" t="s">
        <v>37</v>
      </c>
      <c r="O25" s="5" t="s">
        <v>37</v>
      </c>
      <c r="P25" s="5" t="s">
        <v>37</v>
      </c>
      <c r="Q25" s="5" t="s">
        <v>37</v>
      </c>
      <c r="R25" s="5" t="s">
        <v>37</v>
      </c>
      <c r="S25" s="6" t="n">
        <v>7015421</v>
      </c>
      <c r="T25" s="6" t="n">
        <v>3558322</v>
      </c>
      <c r="U25" s="8" t="n">
        <v>0.507214321136251</v>
      </c>
      <c r="V25" s="6" t="n">
        <v>1630938</v>
      </c>
      <c r="W25" s="8" t="n">
        <v>0.232478991638563</v>
      </c>
      <c r="X25" s="6" t="n">
        <v>3640933</v>
      </c>
      <c r="Y25" s="8" t="n">
        <v>0.519014734815795</v>
      </c>
      <c r="Z25" s="6" t="n">
        <v>1798832</v>
      </c>
      <c r="AA25" s="8" t="n">
        <v>0.256423371003577</v>
      </c>
      <c r="AB25" s="6" t="n">
        <v>488095</v>
      </c>
      <c r="AC25" s="5" t="s">
        <v>75</v>
      </c>
    </row>
    <row r="26" customFormat="false" ht="38" hidden="false" customHeight="true" outlineLevel="0" collapsed="false">
      <c r="B26" s="9" t="s">
        <v>76</v>
      </c>
      <c r="C26" s="9" t="s">
        <v>77</v>
      </c>
      <c r="D26" s="10" t="n">
        <v>2709739</v>
      </c>
      <c r="E26" s="11" t="n">
        <v>0.6</v>
      </c>
      <c r="F26" s="10" t="n">
        <v>1625843</v>
      </c>
      <c r="G26" s="10" t="n">
        <v>514850</v>
      </c>
      <c r="H26" s="11" t="n">
        <v>0.19</v>
      </c>
      <c r="I26" s="10" t="n">
        <v>352266</v>
      </c>
      <c r="J26" s="11" t="n">
        <v>0.13</v>
      </c>
      <c r="K26" s="10" t="n">
        <v>135487</v>
      </c>
      <c r="L26" s="11" t="n">
        <v>0.05</v>
      </c>
      <c r="M26" s="10" t="n">
        <v>81292</v>
      </c>
      <c r="N26" s="11" t="n">
        <v>0.03</v>
      </c>
      <c r="O26" s="10" t="n">
        <v>1842623</v>
      </c>
      <c r="P26" s="11" t="n">
        <v>0.68</v>
      </c>
      <c r="Q26" s="10" t="n">
        <v>650337</v>
      </c>
      <c r="R26" s="11" t="n">
        <v>0.24</v>
      </c>
      <c r="S26" s="10" t="n">
        <v>2570433</v>
      </c>
      <c r="T26" s="10" t="n">
        <v>1518008</v>
      </c>
      <c r="U26" s="12" t="n">
        <v>0.590565091562394</v>
      </c>
      <c r="V26" s="10" t="n">
        <v>406897</v>
      </c>
      <c r="W26" s="12" t="n">
        <v>0.158299010322385</v>
      </c>
      <c r="X26" s="10" t="n">
        <v>1551383</v>
      </c>
      <c r="Y26" s="12" t="n">
        <v>0.603591553049447</v>
      </c>
      <c r="Z26" s="10" t="n">
        <v>467065</v>
      </c>
      <c r="AA26" s="12" t="n">
        <v>0.181719464970958</v>
      </c>
      <c r="AB26" s="10" t="n">
        <v>107835</v>
      </c>
      <c r="AC26" s="9"/>
    </row>
    <row r="27" customFormat="false" ht="38" hidden="false" customHeight="true" outlineLevel="0" collapsed="false">
      <c r="B27" s="5" t="s">
        <v>78</v>
      </c>
      <c r="C27" s="5" t="s">
        <v>40</v>
      </c>
      <c r="D27" s="6" t="n">
        <v>8609026</v>
      </c>
      <c r="E27" s="7" t="n">
        <v>0.23</v>
      </c>
      <c r="F27" s="6" t="n">
        <v>1980076</v>
      </c>
      <c r="G27" s="6" t="n">
        <v>3529701</v>
      </c>
      <c r="H27" s="7" t="n">
        <v>0.41</v>
      </c>
      <c r="I27" s="6" t="n">
        <v>1033083</v>
      </c>
      <c r="J27" s="7" t="n">
        <v>0.12</v>
      </c>
      <c r="K27" s="6" t="n">
        <v>602632</v>
      </c>
      <c r="L27" s="7" t="n">
        <v>0.07</v>
      </c>
      <c r="M27" s="6" t="n">
        <v>1463534</v>
      </c>
      <c r="N27" s="7" t="n">
        <v>0.17</v>
      </c>
      <c r="O27" s="5" t="s">
        <v>37</v>
      </c>
      <c r="P27" s="5" t="s">
        <v>37</v>
      </c>
      <c r="Q27" s="5" t="s">
        <v>37</v>
      </c>
      <c r="R27" s="5" t="s">
        <v>37</v>
      </c>
      <c r="S27" s="6" t="n">
        <v>8480435</v>
      </c>
      <c r="T27" s="6" t="n">
        <v>2363492</v>
      </c>
      <c r="U27" s="8" t="n">
        <v>0.278699382755719</v>
      </c>
      <c r="V27" s="6" t="n">
        <v>3628612</v>
      </c>
      <c r="W27" s="8" t="n">
        <v>0.427880409436544</v>
      </c>
      <c r="X27" s="6" t="n">
        <v>2506605</v>
      </c>
      <c r="Y27" s="8" t="n">
        <v>0.295568393182296</v>
      </c>
      <c r="Z27" s="6" t="n">
        <v>4159343</v>
      </c>
      <c r="AA27" s="8" t="n">
        <v>0.4904523557577</v>
      </c>
      <c r="AB27" s="6" t="n">
        <v>-383416</v>
      </c>
      <c r="AC27" s="5"/>
    </row>
    <row r="28" customFormat="false" ht="38" hidden="false" customHeight="true" outlineLevel="0" collapsed="false">
      <c r="B28" s="9" t="s">
        <v>79</v>
      </c>
      <c r="C28" s="9" t="s">
        <v>43</v>
      </c>
      <c r="D28" s="10" t="n">
        <v>12857000</v>
      </c>
      <c r="E28" s="11" t="n">
        <v>0.29</v>
      </c>
      <c r="F28" s="10" t="n">
        <v>3728530</v>
      </c>
      <c r="G28" s="10" t="n">
        <v>3985670</v>
      </c>
      <c r="H28" s="11" t="n">
        <v>0.31</v>
      </c>
      <c r="I28" s="10" t="n">
        <v>1028560</v>
      </c>
      <c r="J28" s="11" t="n">
        <v>0.08</v>
      </c>
      <c r="K28" s="10" t="n">
        <v>2057120</v>
      </c>
      <c r="L28" s="11" t="n">
        <v>0.16</v>
      </c>
      <c r="M28" s="10" t="n">
        <v>2057120</v>
      </c>
      <c r="N28" s="11" t="n">
        <v>0.16</v>
      </c>
      <c r="O28" s="9" t="s">
        <v>37</v>
      </c>
      <c r="P28" s="9" t="s">
        <v>37</v>
      </c>
      <c r="Q28" s="9" t="s">
        <v>37</v>
      </c>
      <c r="R28" s="9" t="s">
        <v>37</v>
      </c>
      <c r="S28" s="10" t="n">
        <v>12826356</v>
      </c>
      <c r="T28" s="10" t="n">
        <v>3847143</v>
      </c>
      <c r="U28" s="12" t="n">
        <v>0.299940450740647</v>
      </c>
      <c r="V28" s="10" t="n">
        <v>4831246</v>
      </c>
      <c r="W28" s="12" t="n">
        <v>0.376665515911144</v>
      </c>
      <c r="X28" s="10" t="n">
        <v>4156217</v>
      </c>
      <c r="Y28" s="12" t="n">
        <v>0.324019859914724</v>
      </c>
      <c r="Z28" s="10" t="n">
        <v>5403894</v>
      </c>
      <c r="AA28" s="12" t="n">
        <v>0.421289113844156</v>
      </c>
      <c r="AB28" s="10" t="n">
        <v>-118613</v>
      </c>
      <c r="AC28" s="9"/>
    </row>
    <row r="29" customFormat="false" ht="38" hidden="false" customHeight="true" outlineLevel="0" collapsed="false">
      <c r="B29" s="5" t="s">
        <v>80</v>
      </c>
      <c r="C29" s="5" t="s">
        <v>40</v>
      </c>
      <c r="D29" s="6" t="n">
        <v>2660565</v>
      </c>
      <c r="E29" s="7" t="n">
        <v>0.54</v>
      </c>
      <c r="F29" s="6" t="n">
        <v>1436705</v>
      </c>
      <c r="G29" s="6" t="n">
        <v>532113</v>
      </c>
      <c r="H29" s="7" t="n">
        <v>0.2</v>
      </c>
      <c r="I29" s="6" t="n">
        <v>159634</v>
      </c>
      <c r="J29" s="7" t="n">
        <v>0.06</v>
      </c>
      <c r="K29" s="6" t="n">
        <v>292662</v>
      </c>
      <c r="L29" s="7" t="n">
        <v>0.11</v>
      </c>
      <c r="M29" s="6" t="n">
        <v>239451</v>
      </c>
      <c r="N29" s="7" t="n">
        <v>0.09</v>
      </c>
      <c r="O29" s="5" t="s">
        <v>37</v>
      </c>
      <c r="P29" s="5" t="s">
        <v>37</v>
      </c>
      <c r="Q29" s="5" t="s">
        <v>37</v>
      </c>
      <c r="R29" s="5" t="s">
        <v>37</v>
      </c>
      <c r="S29" s="6" t="n">
        <v>2554716</v>
      </c>
      <c r="T29" s="6" t="n">
        <v>1264179</v>
      </c>
      <c r="U29" s="8" t="n">
        <v>0.494841305256631</v>
      </c>
      <c r="V29" s="6" t="n">
        <v>622731</v>
      </c>
      <c r="W29" s="8" t="n">
        <v>0.243757427440075</v>
      </c>
      <c r="X29" s="6" t="n">
        <v>1326785</v>
      </c>
      <c r="Y29" s="8" t="n">
        <v>0.519426651100917</v>
      </c>
      <c r="Z29" s="6" t="n">
        <v>711381</v>
      </c>
      <c r="AA29" s="8" t="n">
        <v>0.278500473314683</v>
      </c>
      <c r="AB29" s="6" t="n">
        <v>172526</v>
      </c>
      <c r="AC29" s="5"/>
    </row>
    <row r="30" customFormat="false" ht="38" hidden="false" customHeight="true" outlineLevel="0" collapsed="false">
      <c r="B30" s="9" t="s">
        <v>81</v>
      </c>
      <c r="C30" s="9" t="s">
        <v>43</v>
      </c>
      <c r="D30" s="10" t="n">
        <v>1267105</v>
      </c>
      <c r="E30" s="11" t="n">
        <v>0.25</v>
      </c>
      <c r="F30" s="10" t="n">
        <v>316776</v>
      </c>
      <c r="G30" s="10" t="n">
        <v>570197</v>
      </c>
      <c r="H30" s="11" t="n">
        <v>0.45</v>
      </c>
      <c r="I30" s="10" t="n">
        <v>139382</v>
      </c>
      <c r="J30" s="11" t="n">
        <v>0.11</v>
      </c>
      <c r="K30" s="10" t="n">
        <v>88697</v>
      </c>
      <c r="L30" s="11" t="n">
        <v>0.07</v>
      </c>
      <c r="M30" s="10" t="n">
        <v>152053</v>
      </c>
      <c r="N30" s="11" t="n">
        <v>0.12</v>
      </c>
      <c r="O30" s="9" t="s">
        <v>37</v>
      </c>
      <c r="P30" s="9" t="s">
        <v>37</v>
      </c>
      <c r="Q30" s="9" t="s">
        <v>37</v>
      </c>
      <c r="R30" s="9" t="s">
        <v>37</v>
      </c>
      <c r="S30" s="10" t="n">
        <v>1229998</v>
      </c>
      <c r="T30" s="10" t="n">
        <v>261749</v>
      </c>
      <c r="U30" s="12" t="n">
        <v>0.212804411064083</v>
      </c>
      <c r="V30" s="10" t="n">
        <v>581306</v>
      </c>
      <c r="W30" s="12" t="n">
        <v>0.47260727253215</v>
      </c>
      <c r="X30" s="10" t="n">
        <v>262904</v>
      </c>
      <c r="Y30" s="12" t="n">
        <v>0.213713204332402</v>
      </c>
      <c r="Z30" s="10" t="n">
        <v>633236</v>
      </c>
      <c r="AA30" s="12" t="n">
        <v>0.51475403439519</v>
      </c>
      <c r="AB30" s="10" t="n">
        <v>55027</v>
      </c>
      <c r="AC30" s="9"/>
    </row>
    <row r="31" customFormat="false" ht="54" hidden="false" customHeight="true" outlineLevel="0" collapsed="false">
      <c r="B31" s="5" t="s">
        <v>82</v>
      </c>
      <c r="C31" s="5" t="s">
        <v>83</v>
      </c>
      <c r="D31" s="6" t="n">
        <v>401496</v>
      </c>
      <c r="E31" s="7" t="n">
        <v>0.193</v>
      </c>
      <c r="F31" s="6" t="n">
        <v>77489</v>
      </c>
      <c r="G31" s="6" t="n">
        <v>291486</v>
      </c>
      <c r="H31" s="7" t="n">
        <v>0.726</v>
      </c>
      <c r="I31" s="5" t="s">
        <v>37</v>
      </c>
      <c r="J31" s="5" t="s">
        <v>37</v>
      </c>
      <c r="K31" s="5" t="s">
        <v>37</v>
      </c>
      <c r="L31" s="5" t="s">
        <v>37</v>
      </c>
      <c r="M31" s="5" t="s">
        <v>37</v>
      </c>
      <c r="N31" s="5" t="s">
        <v>37</v>
      </c>
      <c r="O31" s="5" t="s">
        <v>37</v>
      </c>
      <c r="P31" s="5" t="s">
        <v>37</v>
      </c>
      <c r="Q31" s="5" t="s">
        <v>37</v>
      </c>
      <c r="R31" s="5" t="s">
        <v>37</v>
      </c>
      <c r="S31" s="6" t="n">
        <v>366632</v>
      </c>
      <c r="T31" s="6" t="n">
        <v>68760</v>
      </c>
      <c r="U31" s="8" t="n">
        <v>0.187545004254948</v>
      </c>
      <c r="V31" s="6" t="n">
        <v>207587</v>
      </c>
      <c r="W31" s="8" t="n">
        <v>0.566199895262825</v>
      </c>
      <c r="X31" s="6" t="n">
        <v>67128</v>
      </c>
      <c r="Y31" s="8" t="n">
        <v>0.183089179878955</v>
      </c>
      <c r="Z31" s="6" t="n">
        <v>213518</v>
      </c>
      <c r="AA31" s="8" t="n">
        <v>0.582362583562668</v>
      </c>
      <c r="AB31" s="6" t="n">
        <v>8729</v>
      </c>
      <c r="AC31" s="5" t="s">
        <v>84</v>
      </c>
    </row>
    <row r="32" customFormat="false" ht="38" hidden="false" customHeight="true" outlineLevel="0" collapsed="false">
      <c r="B32" s="9" t="s">
        <v>85</v>
      </c>
      <c r="C32" s="9" t="s">
        <v>40</v>
      </c>
      <c r="D32" s="10" t="n">
        <v>8526233</v>
      </c>
      <c r="E32" s="11" t="n">
        <v>0.28</v>
      </c>
      <c r="F32" s="10" t="n">
        <v>2387345</v>
      </c>
      <c r="G32" s="10" t="n">
        <v>2898919</v>
      </c>
      <c r="H32" s="11" t="n">
        <v>0.34</v>
      </c>
      <c r="I32" s="10" t="n">
        <v>852623</v>
      </c>
      <c r="J32" s="11" t="n">
        <v>0.1</v>
      </c>
      <c r="K32" s="10" t="n">
        <v>852623</v>
      </c>
      <c r="L32" s="11" t="n">
        <v>0.1</v>
      </c>
      <c r="M32" s="10" t="n">
        <v>1534722</v>
      </c>
      <c r="N32" s="11" t="n">
        <v>0.18</v>
      </c>
      <c r="O32" s="9" t="s">
        <v>37</v>
      </c>
      <c r="P32" s="9" t="s">
        <v>37</v>
      </c>
      <c r="Q32" s="9" t="s">
        <v>37</v>
      </c>
      <c r="R32" s="9" t="s">
        <v>37</v>
      </c>
      <c r="S32" s="10" t="n">
        <v>8589432</v>
      </c>
      <c r="T32" s="10" t="n">
        <v>2806672</v>
      </c>
      <c r="U32" s="12" t="n">
        <v>0.326758742603702</v>
      </c>
      <c r="V32" s="10" t="n">
        <v>3245023</v>
      </c>
      <c r="W32" s="12" t="n">
        <v>0.377792501296943</v>
      </c>
      <c r="X32" s="10" t="n">
        <v>2891851</v>
      </c>
      <c r="Y32" s="12" t="n">
        <v>0.336665586300963</v>
      </c>
      <c r="Z32" s="10" t="n">
        <v>3733185</v>
      </c>
      <c r="AA32" s="12" t="n">
        <v>0.434612612058837</v>
      </c>
      <c r="AB32" s="10" t="n">
        <v>-419327</v>
      </c>
      <c r="AC32" s="9"/>
    </row>
    <row r="33" customFormat="false" ht="38" hidden="false" customHeight="true" outlineLevel="0" collapsed="false">
      <c r="B33" s="5" t="s">
        <v>85</v>
      </c>
      <c r="C33" s="5" t="s">
        <v>86</v>
      </c>
      <c r="D33" s="6" t="n">
        <v>8526233</v>
      </c>
      <c r="E33" s="7" t="n">
        <v>0.39</v>
      </c>
      <c r="F33" s="6" t="n">
        <v>3325231</v>
      </c>
      <c r="G33" s="6" t="n">
        <v>3410493</v>
      </c>
      <c r="H33" s="7" t="n">
        <v>0.4</v>
      </c>
      <c r="I33" s="6" t="n">
        <v>1534722</v>
      </c>
      <c r="J33" s="7" t="n">
        <v>0.18</v>
      </c>
      <c r="K33" s="6" t="n">
        <v>170525</v>
      </c>
      <c r="L33" s="7" t="n">
        <v>0.02</v>
      </c>
      <c r="M33" s="6" t="n">
        <v>85262</v>
      </c>
      <c r="N33" s="7" t="n">
        <v>0.01</v>
      </c>
      <c r="O33" s="6" t="n">
        <v>3581018</v>
      </c>
      <c r="P33" s="7" t="n">
        <v>0.42</v>
      </c>
      <c r="Q33" s="6" t="n">
        <v>4433641</v>
      </c>
      <c r="R33" s="7" t="n">
        <v>0.52</v>
      </c>
      <c r="S33" s="6" t="n">
        <v>8589432</v>
      </c>
      <c r="T33" s="6" t="n">
        <v>2806672</v>
      </c>
      <c r="U33" s="8" t="n">
        <v>0.326758742603702</v>
      </c>
      <c r="V33" s="6" t="n">
        <v>3245023</v>
      </c>
      <c r="W33" s="8" t="n">
        <v>0.377792501296943</v>
      </c>
      <c r="X33" s="6" t="n">
        <v>2891851</v>
      </c>
      <c r="Y33" s="8" t="n">
        <v>0.336665586300963</v>
      </c>
      <c r="Z33" s="6" t="n">
        <v>3733185</v>
      </c>
      <c r="AA33" s="8" t="n">
        <v>0.434612612058837</v>
      </c>
      <c r="AB33" s="6" t="n">
        <v>518559</v>
      </c>
      <c r="AC33" s="5"/>
    </row>
    <row r="34" customFormat="false" ht="38" hidden="false" customHeight="true" outlineLevel="0" collapsed="false">
      <c r="B34" s="9" t="s">
        <v>87</v>
      </c>
      <c r="C34" s="9" t="s">
        <v>40</v>
      </c>
      <c r="D34" s="10" t="n">
        <v>5725753</v>
      </c>
      <c r="E34" s="11" t="n">
        <v>0.2</v>
      </c>
      <c r="F34" s="10" t="n">
        <v>1145151</v>
      </c>
      <c r="G34" s="10" t="n">
        <v>2576589</v>
      </c>
      <c r="H34" s="11" t="n">
        <v>0.45</v>
      </c>
      <c r="I34" s="10" t="n">
        <v>801605</v>
      </c>
      <c r="J34" s="11" t="n">
        <v>0.14</v>
      </c>
      <c r="K34" s="10" t="n">
        <v>458060</v>
      </c>
      <c r="L34" s="11" t="n">
        <v>0.08</v>
      </c>
      <c r="M34" s="10" t="n">
        <v>744348</v>
      </c>
      <c r="N34" s="11" t="n">
        <v>0.13</v>
      </c>
      <c r="O34" s="9" t="s">
        <v>37</v>
      </c>
      <c r="P34" s="9" t="s">
        <v>37</v>
      </c>
      <c r="Q34" s="9" t="s">
        <v>37</v>
      </c>
      <c r="R34" s="9" t="s">
        <v>37</v>
      </c>
      <c r="S34" s="10" t="n">
        <v>5501478</v>
      </c>
      <c r="T34" s="10" t="n">
        <v>1279216</v>
      </c>
      <c r="U34" s="12" t="n">
        <v>0.232522242204731</v>
      </c>
      <c r="V34" s="10" t="n">
        <v>2694406</v>
      </c>
      <c r="W34" s="12" t="n">
        <v>0.489760388026636</v>
      </c>
      <c r="X34" s="10" t="n">
        <v>1351918</v>
      </c>
      <c r="Y34" s="12" t="n">
        <v>0.24574590222937</v>
      </c>
      <c r="Z34" s="10" t="n">
        <v>3047630</v>
      </c>
      <c r="AA34" s="12" t="n">
        <v>0.553985215087969</v>
      </c>
      <c r="AB34" s="10" t="n">
        <v>-134065</v>
      </c>
      <c r="AC34" s="9"/>
    </row>
    <row r="35" customFormat="false" ht="70" hidden="false" customHeight="true" outlineLevel="0" collapsed="false">
      <c r="B35" s="5" t="s">
        <v>88</v>
      </c>
      <c r="C35" s="5" t="s">
        <v>89</v>
      </c>
      <c r="D35" s="6" t="n">
        <v>1740240</v>
      </c>
      <c r="E35" s="7" t="n">
        <v>0.6</v>
      </c>
      <c r="F35" s="6" t="n">
        <v>1044144</v>
      </c>
      <c r="G35" s="6" t="n">
        <v>400255</v>
      </c>
      <c r="H35" s="7" t="n">
        <v>0.23</v>
      </c>
      <c r="I35" s="6" t="n">
        <v>191426</v>
      </c>
      <c r="J35" s="7" t="n">
        <v>0.11</v>
      </c>
      <c r="K35" s="6" t="n">
        <v>52207</v>
      </c>
      <c r="L35" s="7" t="n">
        <v>0.03</v>
      </c>
      <c r="M35" s="6" t="n">
        <v>52207</v>
      </c>
      <c r="N35" s="7" t="n">
        <v>0.03</v>
      </c>
      <c r="O35" s="6" t="n">
        <v>1096351</v>
      </c>
      <c r="P35" s="7" t="n">
        <v>0.63</v>
      </c>
      <c r="Q35" s="6" t="n">
        <v>469865</v>
      </c>
      <c r="R35" s="7" t="n">
        <v>0.27</v>
      </c>
      <c r="S35" s="6" t="n">
        <v>1671376</v>
      </c>
      <c r="T35" s="6" t="n">
        <v>828716</v>
      </c>
      <c r="U35" s="8" t="n">
        <v>0.495828586745292</v>
      </c>
      <c r="V35" s="6" t="n">
        <v>378610</v>
      </c>
      <c r="W35" s="8" t="n">
        <v>0.226525928336891</v>
      </c>
      <c r="X35" s="6" t="n">
        <v>862951</v>
      </c>
      <c r="Y35" s="8" t="n">
        <v>0.516353416413312</v>
      </c>
      <c r="Z35" s="6" t="n">
        <v>421086</v>
      </c>
      <c r="AA35" s="8" t="n">
        <v>0.251960070390805</v>
      </c>
      <c r="AB35" s="6" t="n">
        <v>215428</v>
      </c>
      <c r="AC35" s="5" t="s">
        <v>90</v>
      </c>
    </row>
    <row r="36" customFormat="false" ht="38" hidden="false" customHeight="true" outlineLevel="0" collapsed="false">
      <c r="B36" s="9" t="s">
        <v>88</v>
      </c>
      <c r="C36" s="9" t="s">
        <v>91</v>
      </c>
      <c r="D36" s="10" t="n">
        <v>1740240</v>
      </c>
      <c r="E36" s="11" t="n">
        <v>0.5248</v>
      </c>
      <c r="F36" s="10" t="n">
        <v>913278</v>
      </c>
      <c r="G36" s="10" t="n">
        <v>409652</v>
      </c>
      <c r="H36" s="11" t="n">
        <v>0.2354</v>
      </c>
      <c r="I36" s="10" t="n">
        <v>73438</v>
      </c>
      <c r="J36" s="11" t="n">
        <v>0.0422</v>
      </c>
      <c r="K36" s="10" t="n">
        <v>207611</v>
      </c>
      <c r="L36" s="11" t="n">
        <v>0.1193</v>
      </c>
      <c r="M36" s="10" t="n">
        <v>136261</v>
      </c>
      <c r="N36" s="11" t="n">
        <v>0.0783</v>
      </c>
      <c r="O36" s="10" t="n">
        <v>978885</v>
      </c>
      <c r="P36" s="11" t="n">
        <v>0.5625</v>
      </c>
      <c r="Q36" s="10" t="n">
        <v>449678</v>
      </c>
      <c r="R36" s="11" t="n">
        <v>0.2584</v>
      </c>
      <c r="S36" s="10" t="n">
        <v>1671376</v>
      </c>
      <c r="T36" s="10" t="n">
        <v>828716</v>
      </c>
      <c r="U36" s="12" t="n">
        <v>0.495828586745292</v>
      </c>
      <c r="V36" s="10" t="n">
        <v>378610</v>
      </c>
      <c r="W36" s="12" t="n">
        <v>0.226525928336891</v>
      </c>
      <c r="X36" s="10" t="n">
        <v>862951</v>
      </c>
      <c r="Y36" s="12" t="n">
        <v>0.516353416413312</v>
      </c>
      <c r="Z36" s="10" t="n">
        <v>421086</v>
      </c>
      <c r="AA36" s="12" t="n">
        <v>0.251960070390805</v>
      </c>
      <c r="AB36" s="10" t="n">
        <v>84562</v>
      </c>
      <c r="AC36" s="9" t="s">
        <v>92</v>
      </c>
    </row>
    <row r="37" customFormat="false" ht="38" hidden="false" customHeight="true" outlineLevel="0" collapsed="false">
      <c r="B37" s="5" t="s">
        <v>93</v>
      </c>
      <c r="C37" s="5" t="s">
        <v>43</v>
      </c>
      <c r="D37" s="6" t="n">
        <v>34104226</v>
      </c>
      <c r="E37" s="7" t="n">
        <v>0.29</v>
      </c>
      <c r="F37" s="6" t="n">
        <v>9890226</v>
      </c>
      <c r="G37" s="6" t="n">
        <v>10231268</v>
      </c>
      <c r="H37" s="7" t="n">
        <v>0.3</v>
      </c>
      <c r="I37" s="6" t="n">
        <v>5115634</v>
      </c>
      <c r="J37" s="7" t="n">
        <v>0.15</v>
      </c>
      <c r="K37" s="6" t="n">
        <v>4092507</v>
      </c>
      <c r="L37" s="7" t="n">
        <v>0.12</v>
      </c>
      <c r="M37" s="6" t="n">
        <v>4433549</v>
      </c>
      <c r="N37" s="7" t="n">
        <v>0.13</v>
      </c>
      <c r="O37" s="5" t="s">
        <v>37</v>
      </c>
      <c r="P37" s="5" t="s">
        <v>37</v>
      </c>
      <c r="Q37" s="5" t="s">
        <v>37</v>
      </c>
      <c r="R37" s="5" t="s">
        <v>37</v>
      </c>
      <c r="S37" s="6" t="n">
        <v>34684927</v>
      </c>
      <c r="T37" s="6" t="n">
        <v>10490032</v>
      </c>
      <c r="U37" s="8" t="n">
        <v>0.302437770735397</v>
      </c>
      <c r="V37" s="6" t="n">
        <v>12239989</v>
      </c>
      <c r="W37" s="8" t="n">
        <v>0.352890723973558</v>
      </c>
      <c r="X37" s="6" t="n">
        <v>11519882</v>
      </c>
      <c r="Y37" s="8" t="n">
        <v>0.332129830880756</v>
      </c>
      <c r="Z37" s="6" t="n">
        <v>14216587</v>
      </c>
      <c r="AA37" s="8" t="n">
        <v>0.409878559173745</v>
      </c>
      <c r="AB37" s="6" t="n">
        <v>-599806</v>
      </c>
      <c r="AC37" s="5" t="s">
        <v>94</v>
      </c>
    </row>
    <row r="38" customFormat="false" ht="38" hidden="false" customHeight="true" outlineLevel="0" collapsed="false">
      <c r="B38" s="9" t="s">
        <v>93</v>
      </c>
      <c r="C38" s="9" t="s">
        <v>73</v>
      </c>
      <c r="D38" s="10" t="n">
        <v>34104226</v>
      </c>
      <c r="E38" s="11" t="n">
        <v>0.33</v>
      </c>
      <c r="F38" s="10" t="n">
        <v>11254395</v>
      </c>
      <c r="G38" s="10" t="n">
        <v>12959606</v>
      </c>
      <c r="H38" s="11" t="n">
        <v>0.38</v>
      </c>
      <c r="I38" s="10" t="n">
        <v>7843972</v>
      </c>
      <c r="J38" s="11" t="n">
        <v>0.23</v>
      </c>
      <c r="K38" s="10" t="n">
        <v>1023127</v>
      </c>
      <c r="L38" s="11" t="n">
        <v>0.03</v>
      </c>
      <c r="M38" s="10" t="n">
        <v>1023127</v>
      </c>
      <c r="N38" s="11" t="n">
        <v>0.03</v>
      </c>
      <c r="O38" s="10" t="n">
        <v>15005859</v>
      </c>
      <c r="P38" s="11" t="n">
        <v>0.44</v>
      </c>
      <c r="Q38" s="10" t="n">
        <v>16711071</v>
      </c>
      <c r="R38" s="11" t="n">
        <v>0.49</v>
      </c>
      <c r="S38" s="10" t="n">
        <v>34684927</v>
      </c>
      <c r="T38" s="10" t="n">
        <v>10490032</v>
      </c>
      <c r="U38" s="12" t="n">
        <v>0.302437770735397</v>
      </c>
      <c r="V38" s="10" t="n">
        <v>12239989</v>
      </c>
      <c r="W38" s="12" t="n">
        <v>0.352890723973558</v>
      </c>
      <c r="X38" s="10" t="n">
        <v>11519882</v>
      </c>
      <c r="Y38" s="12" t="n">
        <v>0.332129830880756</v>
      </c>
      <c r="Z38" s="10" t="n">
        <v>14216587</v>
      </c>
      <c r="AA38" s="12" t="n">
        <v>0.409878559173745</v>
      </c>
      <c r="AB38" s="10" t="n">
        <v>764363</v>
      </c>
      <c r="AC38" s="9"/>
    </row>
    <row r="39" customFormat="false" ht="54" hidden="false" customHeight="true" outlineLevel="0" collapsed="false">
      <c r="B39" s="5" t="s">
        <v>93</v>
      </c>
      <c r="C39" s="5" t="s">
        <v>95</v>
      </c>
      <c r="D39" s="6" t="n">
        <v>34104226</v>
      </c>
      <c r="E39" s="7" t="n">
        <v>0.36</v>
      </c>
      <c r="F39" s="6" t="n">
        <v>12277521</v>
      </c>
      <c r="G39" s="6" t="n">
        <v>12959606</v>
      </c>
      <c r="H39" s="7" t="n">
        <v>0.38</v>
      </c>
      <c r="I39" s="6" t="n">
        <v>5115634</v>
      </c>
      <c r="J39" s="7" t="n">
        <v>0.15</v>
      </c>
      <c r="K39" s="6" t="n">
        <v>1705211</v>
      </c>
      <c r="L39" s="7" t="n">
        <v>0.05</v>
      </c>
      <c r="M39" s="6" t="n">
        <v>1705211</v>
      </c>
      <c r="N39" s="7" t="n">
        <v>0.05</v>
      </c>
      <c r="O39" s="6" t="n">
        <v>13982733</v>
      </c>
      <c r="P39" s="7" t="n">
        <v>0.41</v>
      </c>
      <c r="Q39" s="6" t="n">
        <v>16370028</v>
      </c>
      <c r="R39" s="7" t="n">
        <v>0.48</v>
      </c>
      <c r="S39" s="6" t="n">
        <v>34684927</v>
      </c>
      <c r="T39" s="6" t="n">
        <v>10490032</v>
      </c>
      <c r="U39" s="8" t="n">
        <v>0.302437770735397</v>
      </c>
      <c r="V39" s="6" t="n">
        <v>12239989</v>
      </c>
      <c r="W39" s="8" t="n">
        <v>0.352890723973558</v>
      </c>
      <c r="X39" s="6" t="n">
        <v>11519882</v>
      </c>
      <c r="Y39" s="8" t="n">
        <v>0.332129830880756</v>
      </c>
      <c r="Z39" s="6" t="n">
        <v>14216587</v>
      </c>
      <c r="AA39" s="8" t="n">
        <v>0.409878559173745</v>
      </c>
      <c r="AB39" s="6" t="n">
        <v>1787489</v>
      </c>
      <c r="AC39" s="5" t="s">
        <v>96</v>
      </c>
    </row>
    <row r="40" customFormat="false" ht="38" hidden="false" customHeight="true" outlineLevel="0" collapsed="false">
      <c r="B40" s="9" t="s">
        <v>97</v>
      </c>
      <c r="C40" s="9" t="s">
        <v>43</v>
      </c>
      <c r="D40" s="10" t="n">
        <v>1182307</v>
      </c>
      <c r="E40" s="11" t="n">
        <v>0.37</v>
      </c>
      <c r="F40" s="10" t="n">
        <v>437454</v>
      </c>
      <c r="G40" s="10" t="n">
        <v>378338</v>
      </c>
      <c r="H40" s="11" t="n">
        <v>0.32</v>
      </c>
      <c r="I40" s="10" t="n">
        <v>189169</v>
      </c>
      <c r="J40" s="11" t="n">
        <v>0.16</v>
      </c>
      <c r="K40" s="10" t="n">
        <v>59115</v>
      </c>
      <c r="L40" s="11" t="n">
        <v>0.05</v>
      </c>
      <c r="M40" s="10" t="n">
        <v>118231</v>
      </c>
      <c r="N40" s="11" t="n">
        <v>0.1</v>
      </c>
      <c r="O40" s="9" t="s">
        <v>37</v>
      </c>
      <c r="P40" s="9" t="s">
        <v>37</v>
      </c>
      <c r="Q40" s="9" t="s">
        <v>37</v>
      </c>
      <c r="R40" s="9" t="s">
        <v>37</v>
      </c>
      <c r="S40" s="10" t="n">
        <v>1094346</v>
      </c>
      <c r="T40" s="10" t="n">
        <v>434303</v>
      </c>
      <c r="U40" s="12" t="n">
        <v>0.396860773466527</v>
      </c>
      <c r="V40" s="10" t="n">
        <v>379194</v>
      </c>
      <c r="W40" s="12" t="n">
        <v>0.346502842793778</v>
      </c>
      <c r="X40" s="10" t="n">
        <v>434593</v>
      </c>
      <c r="Y40" s="12" t="n">
        <v>0.397141739666015</v>
      </c>
      <c r="Z40" s="10" t="n">
        <v>411654</v>
      </c>
      <c r="AA40" s="12" t="n">
        <v>0.376179518999326</v>
      </c>
      <c r="AB40" s="10" t="n">
        <v>3151</v>
      </c>
      <c r="AC40" s="9"/>
    </row>
    <row r="41" customFormat="false" ht="54" hidden="false" customHeight="true" outlineLevel="0" collapsed="false">
      <c r="B41" s="5" t="s">
        <v>98</v>
      </c>
      <c r="C41" s="5" t="s">
        <v>99</v>
      </c>
      <c r="D41" s="6" t="n">
        <v>158745463</v>
      </c>
      <c r="E41" s="7" t="n">
        <v>0.41</v>
      </c>
      <c r="F41" s="6" t="n">
        <v>65085640</v>
      </c>
      <c r="G41" s="6" t="n">
        <v>58735821</v>
      </c>
      <c r="H41" s="7" t="n">
        <v>0.37</v>
      </c>
      <c r="I41" s="6" t="n">
        <v>22224365</v>
      </c>
      <c r="J41" s="7" t="n">
        <v>0.14</v>
      </c>
      <c r="K41" s="6" t="n">
        <v>7937273</v>
      </c>
      <c r="L41" s="7" t="n">
        <v>0.05</v>
      </c>
      <c r="M41" s="6" t="n">
        <v>4762364</v>
      </c>
      <c r="N41" s="7" t="n">
        <v>0.03</v>
      </c>
      <c r="O41" s="6" t="n">
        <v>73022913</v>
      </c>
      <c r="P41" s="7" t="n">
        <v>0.46</v>
      </c>
      <c r="Q41" s="6" t="n">
        <v>71435458</v>
      </c>
      <c r="R41" s="7" t="n">
        <v>0.45</v>
      </c>
      <c r="S41" s="6" t="n">
        <v>156454011</v>
      </c>
      <c r="T41" s="6" t="n">
        <v>57259504</v>
      </c>
      <c r="U41" s="8" t="n">
        <v>0.365982972465947</v>
      </c>
      <c r="V41" s="6" t="n">
        <v>51072345</v>
      </c>
      <c r="W41" s="8" t="n">
        <v>0.32643678914694</v>
      </c>
      <c r="X41" s="6" t="n">
        <v>60345999</v>
      </c>
      <c r="Y41" s="8" t="n">
        <v>0.385710782448396</v>
      </c>
      <c r="Z41" s="6" t="n">
        <v>58206354</v>
      </c>
      <c r="AA41" s="8" t="n">
        <v>0.372034910629424</v>
      </c>
      <c r="AB41" s="6" t="n">
        <v>7826136</v>
      </c>
      <c r="AC41" s="5" t="s">
        <v>100</v>
      </c>
    </row>
    <row r="42" customFormat="false" ht="22" hidden="false" customHeight="true" outlineLevel="0" collapsed="false">
      <c r="B42" s="9" t="s">
        <v>98</v>
      </c>
      <c r="C42" s="9" t="s">
        <v>54</v>
      </c>
      <c r="D42" s="10" t="n">
        <v>158745463</v>
      </c>
      <c r="E42" s="11" t="n">
        <v>0.39</v>
      </c>
      <c r="F42" s="10" t="n">
        <v>61910731</v>
      </c>
      <c r="G42" s="10" t="n">
        <v>52386003</v>
      </c>
      <c r="H42" s="11" t="n">
        <v>0.33</v>
      </c>
      <c r="I42" s="10" t="n">
        <v>28574183</v>
      </c>
      <c r="J42" s="11" t="n">
        <v>0.18</v>
      </c>
      <c r="K42" s="10" t="n">
        <v>9524728</v>
      </c>
      <c r="L42" s="11" t="n">
        <v>0.06</v>
      </c>
      <c r="M42" s="10" t="n">
        <v>6349819</v>
      </c>
      <c r="N42" s="11" t="n">
        <v>0.04</v>
      </c>
      <c r="O42" s="10" t="n">
        <v>74610368</v>
      </c>
      <c r="P42" s="11" t="n">
        <v>0.47</v>
      </c>
      <c r="Q42" s="10" t="n">
        <v>68260549</v>
      </c>
      <c r="R42" s="11" t="n">
        <v>0.43</v>
      </c>
      <c r="S42" s="10" t="n">
        <v>156454011</v>
      </c>
      <c r="T42" s="10" t="n">
        <v>57259504</v>
      </c>
      <c r="U42" s="12" t="n">
        <v>0.365982972465947</v>
      </c>
      <c r="V42" s="10" t="n">
        <v>51072345</v>
      </c>
      <c r="W42" s="12" t="n">
        <v>0.32643678914694</v>
      </c>
      <c r="X42" s="10" t="n">
        <v>60345999</v>
      </c>
      <c r="Y42" s="12" t="n">
        <v>0.385710782448396</v>
      </c>
      <c r="Z42" s="10" t="n">
        <v>58206354</v>
      </c>
      <c r="AA42" s="12" t="n">
        <v>0.372034910629424</v>
      </c>
      <c r="AB42" s="10" t="n">
        <v>4651227</v>
      </c>
      <c r="AC42" s="9"/>
    </row>
  </sheetData>
  <mergeCells count="5">
    <mergeCell ref="B2:AC2"/>
    <mergeCell ref="B3:D3"/>
    <mergeCell ref="E3:N3"/>
    <mergeCell ref="O3:R3"/>
    <mergeCell ref="S3:AA3"/>
  </mergeCells>
  <conditionalFormatting sqref="AB5:AB42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7D46"/>
    <pageSetUpPr fitToPage="false"/>
  </sheetPr>
  <dimension ref="B1:A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21"/>
    <col collapsed="false" customWidth="true" hidden="false" outlineLevel="0" max="22" min="22" style="0" width="10"/>
    <col collapsed="false" customWidth="true" hidden="false" outlineLevel="0" max="23" min="23" style="0" width="21"/>
    <col collapsed="false" customWidth="true" hidden="false" outlineLevel="0" max="24" min="24" style="0" width="10"/>
    <col collapsed="false" customWidth="true" hidden="false" outlineLevel="0" max="25" min="25" style="0" width="21"/>
    <col collapsed="false" customWidth="true" hidden="false" outlineLevel="0" max="26" min="26" style="0" width="10"/>
    <col collapsed="false" customWidth="true" hidden="false" outlineLevel="0" max="27" min="27" style="0" width="21"/>
    <col collapsed="false" customWidth="true" hidden="false" outlineLevel="0" max="28" min="28" style="0" width="9"/>
    <col collapsed="false" customWidth="true" hidden="false" outlineLevel="0" max="29" min="29" style="0" width="26"/>
  </cols>
  <sheetData>
    <row r="1" customFormat="false" ht="15" hidden="false" customHeight="true" outlineLevel="0" collapsed="false"/>
    <row r="2" customFormat="false" ht="32" hidden="false" customHeight="true" outlineLevel="0" collapsed="false">
      <c r="B2" s="1" t="s">
        <v>101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8" hidden="false" customHeight="true" outlineLevel="0" collapsed="false">
      <c r="B3" s="2" t="s">
        <v>1</v>
      </c>
      <c r="C3" s="2"/>
      <c r="D3" s="2"/>
      <c r="E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 t="s">
        <v>3</v>
      </c>
      <c r="P3" s="2"/>
      <c r="Q3" s="2"/>
      <c r="R3" s="2"/>
      <c r="S3" s="2" t="s">
        <v>4</v>
      </c>
      <c r="T3" s="2"/>
      <c r="U3" s="2"/>
      <c r="V3" s="2"/>
      <c r="W3" s="2"/>
      <c r="X3" s="2"/>
      <c r="Y3" s="2"/>
      <c r="Z3" s="2"/>
      <c r="AA3" s="2"/>
      <c r="AB3" s="3" t="s">
        <v>5</v>
      </c>
      <c r="AC3" s="3" t="s">
        <v>6</v>
      </c>
    </row>
    <row r="4" customFormat="false" ht="70" hidden="false" customHeight="true" outlineLevel="0" collapsed="false"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</row>
    <row r="5" customFormat="false" ht="38" hidden="false" customHeight="true" outlineLevel="0" collapsed="false">
      <c r="B5" s="5" t="s">
        <v>35</v>
      </c>
      <c r="C5" s="5" t="s">
        <v>36</v>
      </c>
      <c r="D5" s="6" t="n">
        <v>614375</v>
      </c>
      <c r="E5" s="7" t="n">
        <v>0.232</v>
      </c>
      <c r="F5" s="6" t="n">
        <v>142535</v>
      </c>
      <c r="G5" s="6" t="n">
        <v>304116</v>
      </c>
      <c r="H5" s="7" t="n">
        <v>0.495</v>
      </c>
      <c r="I5" s="6" t="n">
        <v>65124</v>
      </c>
      <c r="J5" s="7" t="n">
        <v>0.106</v>
      </c>
      <c r="K5" s="6" t="n">
        <v>39320</v>
      </c>
      <c r="L5" s="7" t="n">
        <v>0.064</v>
      </c>
      <c r="M5" s="6" t="n">
        <v>61438</v>
      </c>
      <c r="N5" s="7" t="n">
        <v>0.1</v>
      </c>
      <c r="O5" s="5" t="s">
        <v>37</v>
      </c>
      <c r="P5" s="5" t="s">
        <v>37</v>
      </c>
      <c r="Q5" s="5" t="s">
        <v>37</v>
      </c>
      <c r="R5" s="5" t="s">
        <v>37</v>
      </c>
      <c r="S5" s="6" t="n">
        <v>587738</v>
      </c>
      <c r="T5" s="6" t="n">
        <v>129022</v>
      </c>
      <c r="U5" s="8" t="n">
        <v>0.219522984731292</v>
      </c>
      <c r="V5" s="6" t="n">
        <v>275582</v>
      </c>
      <c r="W5" s="8" t="n">
        <v>0.468885796051982</v>
      </c>
      <c r="X5" s="6" t="n">
        <v>121566</v>
      </c>
      <c r="Y5" s="8" t="n">
        <v>0.206827558633127</v>
      </c>
      <c r="Z5" s="6" t="n">
        <v>287750</v>
      </c>
      <c r="AA5" s="8" t="n">
        <v>0.489566408343471</v>
      </c>
      <c r="AB5" s="6" t="n">
        <v>13513</v>
      </c>
      <c r="AC5" s="5" t="s">
        <v>38</v>
      </c>
    </row>
    <row r="6" customFormat="false" ht="38" hidden="false" customHeight="true" outlineLevel="0" collapsed="false">
      <c r="B6" s="9" t="s">
        <v>39</v>
      </c>
      <c r="C6" s="9" t="s">
        <v>40</v>
      </c>
      <c r="D6" s="10" t="n">
        <v>2441794</v>
      </c>
      <c r="E6" s="11" t="n">
        <v>0.44</v>
      </c>
      <c r="F6" s="10" t="n">
        <v>1074389</v>
      </c>
      <c r="G6" s="10" t="n">
        <v>708120</v>
      </c>
      <c r="H6" s="11" t="n">
        <v>0.29</v>
      </c>
      <c r="I6" s="10" t="n">
        <v>170926</v>
      </c>
      <c r="J6" s="11" t="n">
        <v>0.07</v>
      </c>
      <c r="K6" s="10" t="n">
        <v>244179</v>
      </c>
      <c r="L6" s="11" t="n">
        <v>0.1</v>
      </c>
      <c r="M6" s="10" t="n">
        <v>268597</v>
      </c>
      <c r="N6" s="11" t="n">
        <v>0.11</v>
      </c>
      <c r="O6" s="9" t="s">
        <v>37</v>
      </c>
      <c r="P6" s="9" t="s">
        <v>37</v>
      </c>
      <c r="Q6" s="9" t="s">
        <v>37</v>
      </c>
      <c r="R6" s="9" t="s">
        <v>37</v>
      </c>
      <c r="S6" s="10" t="n">
        <v>2326491</v>
      </c>
      <c r="T6" s="10" t="n">
        <v>974156</v>
      </c>
      <c r="U6" s="12" t="n">
        <v>0.418723304753812</v>
      </c>
      <c r="V6" s="10" t="n">
        <v>621515</v>
      </c>
      <c r="W6" s="12" t="n">
        <v>0.267146960809219</v>
      </c>
      <c r="X6" s="10" t="n">
        <v>976831</v>
      </c>
      <c r="Y6" s="12" t="n">
        <v>0.419995322067887</v>
      </c>
      <c r="Z6" s="10" t="n">
        <v>687827</v>
      </c>
      <c r="AA6" s="12" t="n">
        <v>0.295736030482231</v>
      </c>
      <c r="AB6" s="10" t="n">
        <v>100233</v>
      </c>
      <c r="AC6" s="9" t="s">
        <v>41</v>
      </c>
    </row>
    <row r="7" customFormat="false" ht="54" hidden="false" customHeight="true" outlineLevel="0" collapsed="false">
      <c r="B7" s="5" t="s">
        <v>42</v>
      </c>
      <c r="C7" s="5" t="s">
        <v>43</v>
      </c>
      <c r="D7" s="6" t="n">
        <v>2801182</v>
      </c>
      <c r="E7" s="7" t="n">
        <v>0.38</v>
      </c>
      <c r="F7" s="6" t="n">
        <v>1064449</v>
      </c>
      <c r="G7" s="6" t="n">
        <v>980414</v>
      </c>
      <c r="H7" s="7" t="n">
        <v>0.35</v>
      </c>
      <c r="I7" s="6" t="n">
        <v>196083</v>
      </c>
      <c r="J7" s="7" t="n">
        <v>0.07</v>
      </c>
      <c r="K7" s="6" t="n">
        <v>224095</v>
      </c>
      <c r="L7" s="7" t="n">
        <v>0.08</v>
      </c>
      <c r="M7" s="6" t="n">
        <v>336142</v>
      </c>
      <c r="N7" s="7" t="n">
        <v>0.12</v>
      </c>
      <c r="O7" s="5" t="s">
        <v>37</v>
      </c>
      <c r="P7" s="5" t="s">
        <v>37</v>
      </c>
      <c r="Q7" s="5" t="s">
        <v>37</v>
      </c>
      <c r="R7" s="5" t="s">
        <v>37</v>
      </c>
      <c r="S7" s="6" t="n">
        <v>2646924</v>
      </c>
      <c r="T7" s="6" t="n">
        <v>1019684</v>
      </c>
      <c r="U7" s="8" t="n">
        <v>0.385233576785733</v>
      </c>
      <c r="V7" s="6" t="n">
        <v>880198</v>
      </c>
      <c r="W7" s="8" t="n">
        <v>0.332536181620628</v>
      </c>
      <c r="X7" s="6" t="n">
        <v>1004991</v>
      </c>
      <c r="Y7" s="8" t="n">
        <v>0.379654062164848</v>
      </c>
      <c r="Z7" s="6" t="n">
        <v>961741</v>
      </c>
      <c r="AA7" s="8" t="n">
        <v>0.36331556939364</v>
      </c>
      <c r="AB7" s="6" t="n">
        <v>44765</v>
      </c>
      <c r="AC7" s="5" t="s">
        <v>44</v>
      </c>
    </row>
    <row r="8" customFormat="false" ht="38" hidden="false" customHeight="true" outlineLevel="0" collapsed="false">
      <c r="B8" s="9" t="s">
        <v>45</v>
      </c>
      <c r="C8" s="9" t="s">
        <v>43</v>
      </c>
      <c r="D8" s="10" t="n">
        <v>577534</v>
      </c>
      <c r="E8" s="11" t="n">
        <v>0.36</v>
      </c>
      <c r="F8" s="10" t="n">
        <v>207912</v>
      </c>
      <c r="G8" s="10" t="n">
        <v>190586</v>
      </c>
      <c r="H8" s="11" t="n">
        <v>0.33</v>
      </c>
      <c r="I8" s="10" t="n">
        <v>51978</v>
      </c>
      <c r="J8" s="11" t="n">
        <v>0.09</v>
      </c>
      <c r="K8" s="10" t="n">
        <v>46203</v>
      </c>
      <c r="L8" s="11" t="n">
        <v>0.08</v>
      </c>
      <c r="M8" s="10" t="n">
        <v>80855</v>
      </c>
      <c r="N8" s="11" t="n">
        <v>0.14</v>
      </c>
      <c r="O8" s="9" t="s">
        <v>37</v>
      </c>
      <c r="P8" s="9" t="s">
        <v>37</v>
      </c>
      <c r="Q8" s="9" t="s">
        <v>37</v>
      </c>
      <c r="R8" s="9" t="s">
        <v>37</v>
      </c>
      <c r="S8" s="10" t="n">
        <v>550165</v>
      </c>
      <c r="T8" s="10" t="n">
        <v>197382</v>
      </c>
      <c r="U8" s="12" t="n">
        <v>0.358768733016459</v>
      </c>
      <c r="V8" s="10" t="n">
        <v>187621</v>
      </c>
      <c r="W8" s="12" t="n">
        <v>0.341026782874229</v>
      </c>
      <c r="X8" s="10" t="n">
        <v>189918</v>
      </c>
      <c r="Y8" s="12" t="n">
        <v>0.345223228649176</v>
      </c>
      <c r="Z8" s="10" t="n">
        <v>200547</v>
      </c>
      <c r="AA8" s="12" t="n">
        <v>0.364544081318813</v>
      </c>
      <c r="AB8" s="10" t="n">
        <v>10530</v>
      </c>
      <c r="AC8" s="9"/>
    </row>
    <row r="9" customFormat="false" ht="38" hidden="false" customHeight="true" outlineLevel="0" collapsed="false">
      <c r="B9" s="5" t="s">
        <v>46</v>
      </c>
      <c r="C9" s="5" t="s">
        <v>47</v>
      </c>
      <c r="D9" s="6" t="n">
        <v>11321005</v>
      </c>
      <c r="E9" s="7" t="n">
        <v>0.6</v>
      </c>
      <c r="F9" s="6" t="n">
        <v>6792603</v>
      </c>
      <c r="G9" s="6" t="n">
        <v>1924571</v>
      </c>
      <c r="H9" s="7" t="n">
        <v>0.17</v>
      </c>
      <c r="I9" s="6" t="n">
        <v>792470</v>
      </c>
      <c r="J9" s="7" t="n">
        <v>0.07</v>
      </c>
      <c r="K9" s="6" t="n">
        <v>679260</v>
      </c>
      <c r="L9" s="7" t="n">
        <v>0.06</v>
      </c>
      <c r="M9" s="6" t="n">
        <v>905680</v>
      </c>
      <c r="N9" s="7" t="n">
        <v>0.08</v>
      </c>
      <c r="O9" s="5" t="s">
        <v>37</v>
      </c>
      <c r="P9" s="5" t="s">
        <v>37</v>
      </c>
      <c r="Q9" s="5" t="s">
        <v>37</v>
      </c>
      <c r="R9" s="5" t="s">
        <v>37</v>
      </c>
      <c r="S9" s="6" t="n">
        <v>11283405</v>
      </c>
      <c r="T9" s="6" t="n">
        <v>5873081</v>
      </c>
      <c r="U9" s="8" t="n">
        <v>0.520506088366056</v>
      </c>
      <c r="V9" s="6" t="n">
        <v>2047599</v>
      </c>
      <c r="W9" s="8" t="n">
        <v>0.181469955212988</v>
      </c>
      <c r="X9" s="6" t="n">
        <v>6097815</v>
      </c>
      <c r="Y9" s="8" t="n">
        <v>0.540442749308052</v>
      </c>
      <c r="Z9" s="6" t="n">
        <v>2357028</v>
      </c>
      <c r="AA9" s="8" t="n">
        <v>0.208900842763524</v>
      </c>
      <c r="AB9" s="6" t="n">
        <v>919522</v>
      </c>
      <c r="AC9" s="5" t="s">
        <v>48</v>
      </c>
    </row>
    <row r="10" customFormat="false" ht="54" hidden="false" customHeight="true" outlineLevel="0" collapsed="false">
      <c r="B10" s="9" t="s">
        <v>49</v>
      </c>
      <c r="C10" s="9" t="s">
        <v>50</v>
      </c>
      <c r="D10" s="10" t="n">
        <v>6998494</v>
      </c>
      <c r="E10" s="11" t="n">
        <v>0.65</v>
      </c>
      <c r="F10" s="10" t="n">
        <v>4549021</v>
      </c>
      <c r="G10" s="10" t="n">
        <v>1469684</v>
      </c>
      <c r="H10" s="11" t="n">
        <v>0.21</v>
      </c>
      <c r="I10" s="10" t="n">
        <v>489895</v>
      </c>
      <c r="J10" s="11" t="n">
        <v>0.07</v>
      </c>
      <c r="K10" s="10" t="n">
        <v>209955</v>
      </c>
      <c r="L10" s="11" t="n">
        <v>0.03</v>
      </c>
      <c r="M10" s="10" t="n">
        <v>279940</v>
      </c>
      <c r="N10" s="11" t="n">
        <v>0.04</v>
      </c>
      <c r="O10" s="10" t="n">
        <v>4619006</v>
      </c>
      <c r="P10" s="11" t="n">
        <v>0.66</v>
      </c>
      <c r="Q10" s="10" t="n">
        <v>1889593</v>
      </c>
      <c r="R10" s="11" t="n">
        <v>0.27</v>
      </c>
      <c r="S10" s="10" t="n">
        <v>6818732</v>
      </c>
      <c r="T10" s="10" t="n">
        <v>3578355</v>
      </c>
      <c r="U10" s="12" t="n">
        <v>0.524783053506136</v>
      </c>
      <c r="V10" s="10" t="n">
        <v>1377827</v>
      </c>
      <c r="W10" s="12" t="n">
        <v>0.202064988035899</v>
      </c>
      <c r="X10" s="10" t="n">
        <v>3807891</v>
      </c>
      <c r="Y10" s="12" t="n">
        <v>0.558489845988497</v>
      </c>
      <c r="Z10" s="10" t="n">
        <v>1634477</v>
      </c>
      <c r="AA10" s="12" t="n">
        <v>0.239722935347083</v>
      </c>
      <c r="AB10" s="10" t="n">
        <v>970666</v>
      </c>
      <c r="AC10" s="9" t="s">
        <v>51</v>
      </c>
    </row>
    <row r="11" customFormat="false" ht="38" hidden="false" customHeight="true" outlineLevel="0" collapsed="false">
      <c r="B11" s="5" t="s">
        <v>52</v>
      </c>
      <c r="C11" s="5" t="s">
        <v>43</v>
      </c>
      <c r="D11" s="6" t="n">
        <v>2253132</v>
      </c>
      <c r="E11" s="7" t="n">
        <v>0.28</v>
      </c>
      <c r="F11" s="6" t="n">
        <v>630877</v>
      </c>
      <c r="G11" s="6" t="n">
        <v>585814</v>
      </c>
      <c r="H11" s="7" t="n">
        <v>0.26</v>
      </c>
      <c r="I11" s="6" t="n">
        <v>540752</v>
      </c>
      <c r="J11" s="7" t="n">
        <v>0.24</v>
      </c>
      <c r="K11" s="6" t="n">
        <v>225313</v>
      </c>
      <c r="L11" s="7" t="n">
        <v>0.1</v>
      </c>
      <c r="M11" s="6" t="n">
        <v>270376</v>
      </c>
      <c r="N11" s="7" t="n">
        <v>0.12</v>
      </c>
      <c r="O11" s="5" t="s">
        <v>37</v>
      </c>
      <c r="P11" s="5" t="s">
        <v>37</v>
      </c>
      <c r="Q11" s="5" t="s">
        <v>37</v>
      </c>
      <c r="R11" s="5" t="s">
        <v>37</v>
      </c>
      <c r="S11" s="6" t="n">
        <v>2206996</v>
      </c>
      <c r="T11" s="6" t="n">
        <v>649534</v>
      </c>
      <c r="U11" s="8" t="n">
        <v>0.294306831548403</v>
      </c>
      <c r="V11" s="6" t="n">
        <v>910397</v>
      </c>
      <c r="W11" s="8" t="n">
        <v>0.412505052116089</v>
      </c>
      <c r="X11" s="6" t="n">
        <v>729295</v>
      </c>
      <c r="Y11" s="8" t="n">
        <v>0.330352305732669</v>
      </c>
      <c r="Z11" s="6" t="n">
        <v>1041331</v>
      </c>
      <c r="AA11" s="8" t="n">
        <v>0.471696771376337</v>
      </c>
      <c r="AB11" s="6" t="n">
        <v>-18657</v>
      </c>
      <c r="AC11" s="5" t="s">
        <v>53</v>
      </c>
    </row>
    <row r="12" customFormat="false" ht="70" hidden="false" customHeight="true" outlineLevel="0" collapsed="false">
      <c r="B12" s="9" t="s">
        <v>55</v>
      </c>
      <c r="C12" s="9" t="s">
        <v>56</v>
      </c>
      <c r="D12" s="10" t="n">
        <v>2990490</v>
      </c>
      <c r="E12" s="11" t="n">
        <v>0.3</v>
      </c>
      <c r="F12" s="10" t="n">
        <v>897147</v>
      </c>
      <c r="G12" s="10" t="n">
        <v>897147</v>
      </c>
      <c r="H12" s="11" t="n">
        <v>0.3</v>
      </c>
      <c r="I12" s="9" t="s">
        <v>37</v>
      </c>
      <c r="J12" s="9" t="s">
        <v>37</v>
      </c>
      <c r="K12" s="9" t="s">
        <v>37</v>
      </c>
      <c r="L12" s="9" t="s">
        <v>37</v>
      </c>
      <c r="M12" s="9" t="s">
        <v>37</v>
      </c>
      <c r="N12" s="9" t="s">
        <v>37</v>
      </c>
      <c r="O12" s="10" t="n">
        <v>1076576</v>
      </c>
      <c r="P12" s="11" t="n">
        <v>0.36</v>
      </c>
      <c r="Q12" s="10" t="n">
        <v>1256006</v>
      </c>
      <c r="R12" s="11" t="n">
        <v>0.42</v>
      </c>
      <c r="S12" s="10" t="n">
        <v>2922379</v>
      </c>
      <c r="T12" s="10" t="n">
        <v>897348</v>
      </c>
      <c r="U12" s="12" t="n">
        <v>0.307060788487735</v>
      </c>
      <c r="V12" s="10" t="n">
        <v>1160030</v>
      </c>
      <c r="W12" s="12" t="n">
        <v>0.396947144774856</v>
      </c>
      <c r="X12" s="10" t="n">
        <v>926767</v>
      </c>
      <c r="Y12" s="12" t="n">
        <v>0.317140066742772</v>
      </c>
      <c r="Z12" s="10" t="n">
        <v>1282145</v>
      </c>
      <c r="AA12" s="12" t="n">
        <v>0.43875057147472</v>
      </c>
      <c r="AB12" s="10" t="n">
        <v>-201</v>
      </c>
      <c r="AC12" s="9" t="s">
        <v>57</v>
      </c>
    </row>
    <row r="13" customFormat="false" ht="70" hidden="false" customHeight="true" outlineLevel="0" collapsed="false">
      <c r="B13" s="5" t="s">
        <v>60</v>
      </c>
      <c r="C13" s="5" t="s">
        <v>61</v>
      </c>
      <c r="D13" s="6" t="n">
        <v>5081043</v>
      </c>
      <c r="E13" s="7" t="n">
        <v>0.27</v>
      </c>
      <c r="F13" s="6" t="n">
        <v>1371882</v>
      </c>
      <c r="G13" s="6" t="n">
        <v>1270261</v>
      </c>
      <c r="H13" s="7" t="n">
        <v>0.25</v>
      </c>
      <c r="I13" s="6" t="n">
        <v>2286469</v>
      </c>
      <c r="J13" s="7" t="n">
        <v>0.45</v>
      </c>
      <c r="K13" s="6" t="n">
        <v>101621</v>
      </c>
      <c r="L13" s="7" t="n">
        <v>0.02</v>
      </c>
      <c r="M13" s="6" t="n">
        <v>50810</v>
      </c>
      <c r="N13" s="7" t="n">
        <v>0.01</v>
      </c>
      <c r="O13" s="6" t="n">
        <v>1676744</v>
      </c>
      <c r="P13" s="7" t="n">
        <v>0.33</v>
      </c>
      <c r="Q13" s="6" t="n">
        <v>2845384</v>
      </c>
      <c r="R13" s="7" t="n">
        <v>0.56</v>
      </c>
      <c r="S13" s="6" t="n">
        <v>4870292</v>
      </c>
      <c r="T13" s="6" t="n">
        <v>1454723</v>
      </c>
      <c r="U13" s="8" t="n">
        <v>0.29869317897161</v>
      </c>
      <c r="V13" s="6" t="n">
        <v>1920203</v>
      </c>
      <c r="W13" s="8" t="n">
        <v>0.394268557203552</v>
      </c>
      <c r="X13" s="6" t="n">
        <v>1542115</v>
      </c>
      <c r="Y13" s="8" t="n">
        <v>0.31661568411913</v>
      </c>
      <c r="Z13" s="6" t="n">
        <v>2193041</v>
      </c>
      <c r="AA13" s="8" t="n">
        <v>0.4502590121465</v>
      </c>
      <c r="AB13" s="6" t="n">
        <v>-82841</v>
      </c>
      <c r="AC13" s="5" t="s">
        <v>62</v>
      </c>
    </row>
    <row r="14" customFormat="false" ht="38" hidden="false" customHeight="true" outlineLevel="0" collapsed="false">
      <c r="B14" s="9" t="s">
        <v>63</v>
      </c>
      <c r="C14" s="9" t="s">
        <v>40</v>
      </c>
      <c r="D14" s="10" t="n">
        <v>5186562</v>
      </c>
      <c r="E14" s="11" t="n">
        <v>0.58</v>
      </c>
      <c r="F14" s="10" t="n">
        <v>3008206</v>
      </c>
      <c r="G14" s="10" t="n">
        <v>1037312</v>
      </c>
      <c r="H14" s="11" t="n">
        <v>0.2</v>
      </c>
      <c r="I14" s="10" t="n">
        <v>311194</v>
      </c>
      <c r="J14" s="11" t="n">
        <v>0.06</v>
      </c>
      <c r="K14" s="10" t="n">
        <v>259328</v>
      </c>
      <c r="L14" s="11" t="n">
        <v>0.05</v>
      </c>
      <c r="M14" s="10" t="n">
        <v>570522</v>
      </c>
      <c r="N14" s="11" t="n">
        <v>0.11</v>
      </c>
      <c r="O14" s="9" t="s">
        <v>37</v>
      </c>
      <c r="P14" s="9" t="s">
        <v>37</v>
      </c>
      <c r="Q14" s="9" t="s">
        <v>37</v>
      </c>
      <c r="R14" s="9" t="s">
        <v>37</v>
      </c>
      <c r="S14" s="10" t="n">
        <v>5039287</v>
      </c>
      <c r="T14" s="10" t="n">
        <v>2603454</v>
      </c>
      <c r="U14" s="12" t="n">
        <v>0.516631420278305</v>
      </c>
      <c r="V14" s="10" t="n">
        <v>983861</v>
      </c>
      <c r="W14" s="12" t="n">
        <v>0.195238135871206</v>
      </c>
      <c r="X14" s="10" t="n">
        <v>2668425</v>
      </c>
      <c r="Y14" s="12" t="n">
        <v>0.529522214066339</v>
      </c>
      <c r="Z14" s="10" t="n">
        <v>1082749</v>
      </c>
      <c r="AA14" s="12" t="n">
        <v>0.214860694139095</v>
      </c>
      <c r="AB14" s="10" t="n">
        <v>404752</v>
      </c>
      <c r="AC14" s="9"/>
    </row>
    <row r="15" customFormat="false" ht="38" hidden="false" customHeight="true" outlineLevel="0" collapsed="false">
      <c r="B15" s="5" t="s">
        <v>64</v>
      </c>
      <c r="C15" s="5" t="s">
        <v>43</v>
      </c>
      <c r="D15" s="6" t="n">
        <v>16377659</v>
      </c>
      <c r="E15" s="7" t="n">
        <v>0.3</v>
      </c>
      <c r="F15" s="6" t="n">
        <v>4913298</v>
      </c>
      <c r="G15" s="6" t="n">
        <v>5077074</v>
      </c>
      <c r="H15" s="7" t="n">
        <v>0.31</v>
      </c>
      <c r="I15" s="6" t="n">
        <v>2292872</v>
      </c>
      <c r="J15" s="7" t="n">
        <v>0.14</v>
      </c>
      <c r="K15" s="6" t="n">
        <v>1310213</v>
      </c>
      <c r="L15" s="7" t="n">
        <v>0.08</v>
      </c>
      <c r="M15" s="6" t="n">
        <v>2784202</v>
      </c>
      <c r="N15" s="7" t="n">
        <v>0.17</v>
      </c>
      <c r="O15" s="5" t="s">
        <v>37</v>
      </c>
      <c r="P15" s="5" t="s">
        <v>37</v>
      </c>
      <c r="Q15" s="5" t="s">
        <v>37</v>
      </c>
      <c r="R15" s="5" t="s">
        <v>37</v>
      </c>
      <c r="S15" s="6" t="n">
        <v>16283828</v>
      </c>
      <c r="T15" s="6" t="n">
        <v>5802571</v>
      </c>
      <c r="U15" s="8" t="n">
        <v>0.356339492163636</v>
      </c>
      <c r="V15" s="6" t="n">
        <v>5239264</v>
      </c>
      <c r="W15" s="8" t="n">
        <v>0.321746459124967</v>
      </c>
      <c r="X15" s="6" t="n">
        <v>6190960</v>
      </c>
      <c r="Y15" s="8" t="n">
        <v>0.380172328298827</v>
      </c>
      <c r="Z15" s="6" t="n">
        <v>6141310</v>
      </c>
      <c r="AA15" s="8" t="n">
        <v>0.377123438288225</v>
      </c>
      <c r="AB15" s="6" t="n">
        <v>-889273</v>
      </c>
      <c r="AC15" s="5"/>
    </row>
    <row r="16" customFormat="false" ht="22" hidden="false" customHeight="true" outlineLevel="0" collapsed="false">
      <c r="B16" s="9" t="s">
        <v>67</v>
      </c>
      <c r="C16" s="9" t="s">
        <v>43</v>
      </c>
      <c r="D16" s="10" t="n">
        <v>2024884</v>
      </c>
      <c r="E16" s="11" t="n">
        <v>0.27</v>
      </c>
      <c r="F16" s="10" t="n">
        <v>546719</v>
      </c>
      <c r="G16" s="10" t="n">
        <v>668212</v>
      </c>
      <c r="H16" s="11" t="n">
        <v>0.33</v>
      </c>
      <c r="I16" s="10" t="n">
        <v>344230</v>
      </c>
      <c r="J16" s="11" t="n">
        <v>0.17</v>
      </c>
      <c r="K16" s="10" t="n">
        <v>202488</v>
      </c>
      <c r="L16" s="11" t="n">
        <v>0.1</v>
      </c>
      <c r="M16" s="10" t="n">
        <v>263235</v>
      </c>
      <c r="N16" s="11" t="n">
        <v>0.13</v>
      </c>
      <c r="O16" s="9" t="s">
        <v>37</v>
      </c>
      <c r="P16" s="9" t="s">
        <v>37</v>
      </c>
      <c r="Q16" s="9" t="s">
        <v>37</v>
      </c>
      <c r="R16" s="9" t="s">
        <v>37</v>
      </c>
      <c r="S16" s="10" t="n">
        <v>1995932</v>
      </c>
      <c r="T16" s="10" t="n">
        <v>588323</v>
      </c>
      <c r="U16" s="12" t="n">
        <v>0.294761043963422</v>
      </c>
      <c r="V16" s="10" t="n">
        <v>794206</v>
      </c>
      <c r="W16" s="12" t="n">
        <v>0.397912353727482</v>
      </c>
      <c r="X16" s="10" t="n">
        <v>599547</v>
      </c>
      <c r="Y16" s="12" t="n">
        <v>0.300364316610773</v>
      </c>
      <c r="Z16" s="10" t="n">
        <v>880606</v>
      </c>
      <c r="AA16" s="12" t="n">
        <v>0.441170782930023</v>
      </c>
      <c r="AB16" s="10" t="n">
        <v>-41604</v>
      </c>
      <c r="AC16" s="9"/>
    </row>
    <row r="17" customFormat="false" ht="38" hidden="false" customHeight="true" outlineLevel="0" collapsed="false">
      <c r="B17" s="5" t="s">
        <v>68</v>
      </c>
      <c r="C17" s="5" t="s">
        <v>43</v>
      </c>
      <c r="D17" s="6" t="n">
        <v>2638230</v>
      </c>
      <c r="E17" s="7" t="n">
        <v>0.26</v>
      </c>
      <c r="F17" s="6" t="n">
        <v>685940</v>
      </c>
      <c r="G17" s="6" t="n">
        <v>1134439</v>
      </c>
      <c r="H17" s="7" t="n">
        <v>0.43</v>
      </c>
      <c r="I17" s="6" t="n">
        <v>290205</v>
      </c>
      <c r="J17" s="7" t="n">
        <v>0.11</v>
      </c>
      <c r="K17" s="6" t="n">
        <v>158294</v>
      </c>
      <c r="L17" s="7" t="n">
        <v>0.06</v>
      </c>
      <c r="M17" s="6" t="n">
        <v>369352</v>
      </c>
      <c r="N17" s="7" t="n">
        <v>0.14</v>
      </c>
      <c r="O17" s="5" t="s">
        <v>37</v>
      </c>
      <c r="P17" s="5" t="s">
        <v>37</v>
      </c>
      <c r="Q17" s="5" t="s">
        <v>37</v>
      </c>
      <c r="R17" s="5" t="s">
        <v>37</v>
      </c>
      <c r="S17" s="6" t="n">
        <v>2469604</v>
      </c>
      <c r="T17" s="6" t="n">
        <v>633748</v>
      </c>
      <c r="U17" s="8" t="n">
        <v>0.256619279852154</v>
      </c>
      <c r="V17" s="6" t="n">
        <v>1102866</v>
      </c>
      <c r="W17" s="8" t="n">
        <v>0.446576050249352</v>
      </c>
      <c r="X17" s="6" t="n">
        <v>652786</v>
      </c>
      <c r="Y17" s="8" t="n">
        <v>0.26430755240208</v>
      </c>
      <c r="Z17" s="6" t="n">
        <v>1216730</v>
      </c>
      <c r="AA17" s="8" t="n">
        <v>0.492643727399458</v>
      </c>
      <c r="AB17" s="6" t="n">
        <v>52192</v>
      </c>
      <c r="AC17" s="5"/>
    </row>
    <row r="18" customFormat="false" ht="70" hidden="false" customHeight="true" outlineLevel="0" collapsed="false">
      <c r="B18" s="9" t="s">
        <v>69</v>
      </c>
      <c r="C18" s="9" t="s">
        <v>70</v>
      </c>
      <c r="D18" s="10" t="n">
        <v>6265355</v>
      </c>
      <c r="E18" s="11" t="n">
        <v>0.442</v>
      </c>
      <c r="F18" s="10" t="n">
        <v>2769287</v>
      </c>
      <c r="G18" s="10" t="n">
        <v>2794348</v>
      </c>
      <c r="H18" s="11" t="n">
        <v>0.446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n">
        <v>3076289</v>
      </c>
      <c r="P18" s="11" t="n">
        <v>0.491</v>
      </c>
      <c r="Q18" s="10" t="n">
        <v>3189066</v>
      </c>
      <c r="R18" s="11" t="n">
        <v>0.509</v>
      </c>
      <c r="S18" s="10" t="n">
        <v>6079280</v>
      </c>
      <c r="T18" s="10" t="n">
        <v>2443730</v>
      </c>
      <c r="U18" s="12" t="n">
        <v>0.401976878840915</v>
      </c>
      <c r="V18" s="10" t="n">
        <v>1884673</v>
      </c>
      <c r="W18" s="12" t="n">
        <v>0.310015824242344</v>
      </c>
      <c r="X18" s="10" t="n">
        <v>2509084</v>
      </c>
      <c r="Y18" s="12" t="n">
        <v>0.412755884864539</v>
      </c>
      <c r="Z18" s="10" t="n">
        <v>2073895</v>
      </c>
      <c r="AA18" s="12" t="n">
        <v>0.341165288145452</v>
      </c>
      <c r="AB18" s="10" t="n">
        <v>325557</v>
      </c>
      <c r="AC18" s="9" t="s">
        <v>71</v>
      </c>
    </row>
    <row r="19" customFormat="false" ht="38" hidden="false" customHeight="true" outlineLevel="0" collapsed="false">
      <c r="B19" s="5" t="s">
        <v>72</v>
      </c>
      <c r="C19" s="5" t="s">
        <v>43</v>
      </c>
      <c r="D19" s="6" t="n">
        <v>3247397</v>
      </c>
      <c r="E19" s="7" t="n">
        <v>0.5</v>
      </c>
      <c r="F19" s="6" t="n">
        <v>1623699</v>
      </c>
      <c r="G19" s="6" t="n">
        <v>681953</v>
      </c>
      <c r="H19" s="7" t="n">
        <v>0.21</v>
      </c>
      <c r="I19" s="6" t="n">
        <v>292266</v>
      </c>
      <c r="J19" s="7" t="n">
        <v>0.09</v>
      </c>
      <c r="K19" s="6" t="n">
        <v>422162</v>
      </c>
      <c r="L19" s="7" t="n">
        <v>0.13</v>
      </c>
      <c r="M19" s="6" t="n">
        <v>259792</v>
      </c>
      <c r="N19" s="7" t="n">
        <v>0.08</v>
      </c>
      <c r="O19" s="5" t="s">
        <v>37</v>
      </c>
      <c r="P19" s="5" t="s">
        <v>37</v>
      </c>
      <c r="Q19" s="5" t="s">
        <v>37</v>
      </c>
      <c r="R19" s="5" t="s">
        <v>37</v>
      </c>
      <c r="S19" s="6" t="n">
        <v>3092053</v>
      </c>
      <c r="T19" s="6" t="n">
        <v>1554868</v>
      </c>
      <c r="U19" s="8" t="n">
        <v>0.502859427053805</v>
      </c>
      <c r="V19" s="6" t="n">
        <v>717416</v>
      </c>
      <c r="W19" s="8" t="n">
        <v>0.23201930885402</v>
      </c>
      <c r="X19" s="6" t="n">
        <v>1601953</v>
      </c>
      <c r="Y19" s="8" t="n">
        <v>0.51814314302173</v>
      </c>
      <c r="Z19" s="6" t="n">
        <v>802502</v>
      </c>
      <c r="AA19" s="8" t="n">
        <v>0.259564986339315</v>
      </c>
      <c r="AB19" s="6" t="n">
        <v>68831</v>
      </c>
      <c r="AC19" s="5" t="s">
        <v>41</v>
      </c>
    </row>
    <row r="20" customFormat="false" ht="38" hidden="false" customHeight="true" outlineLevel="0" collapsed="false">
      <c r="B20" s="9" t="s">
        <v>74</v>
      </c>
      <c r="C20" s="9" t="s">
        <v>43</v>
      </c>
      <c r="D20" s="10" t="n">
        <v>7225744</v>
      </c>
      <c r="E20" s="11" t="n">
        <v>0.54</v>
      </c>
      <c r="F20" s="10" t="n">
        <v>3901902</v>
      </c>
      <c r="G20" s="10" t="n">
        <v>1372891</v>
      </c>
      <c r="H20" s="11" t="n">
        <v>0.19</v>
      </c>
      <c r="I20" s="10" t="n">
        <v>505802</v>
      </c>
      <c r="J20" s="11" t="n">
        <v>0.07</v>
      </c>
      <c r="K20" s="10" t="n">
        <v>650317</v>
      </c>
      <c r="L20" s="11" t="n">
        <v>0.09</v>
      </c>
      <c r="M20" s="10" t="n">
        <v>794832</v>
      </c>
      <c r="N20" s="11" t="n">
        <v>0.11</v>
      </c>
      <c r="O20" s="9" t="s">
        <v>37</v>
      </c>
      <c r="P20" s="9" t="s">
        <v>37</v>
      </c>
      <c r="Q20" s="9" t="s">
        <v>37</v>
      </c>
      <c r="R20" s="9" t="s">
        <v>37</v>
      </c>
      <c r="S20" s="10" t="n">
        <v>7015421</v>
      </c>
      <c r="T20" s="10" t="n">
        <v>3558322</v>
      </c>
      <c r="U20" s="12" t="n">
        <v>0.507214321136251</v>
      </c>
      <c r="V20" s="10" t="n">
        <v>1630938</v>
      </c>
      <c r="W20" s="12" t="n">
        <v>0.232478991638563</v>
      </c>
      <c r="X20" s="10" t="n">
        <v>3640933</v>
      </c>
      <c r="Y20" s="12" t="n">
        <v>0.519014734815795</v>
      </c>
      <c r="Z20" s="10" t="n">
        <v>1798832</v>
      </c>
      <c r="AA20" s="12" t="n">
        <v>0.256423371003577</v>
      </c>
      <c r="AB20" s="10" t="n">
        <v>343580</v>
      </c>
      <c r="AC20" s="9"/>
    </row>
    <row r="21" customFormat="false" ht="38" hidden="false" customHeight="true" outlineLevel="0" collapsed="false">
      <c r="B21" s="5" t="s">
        <v>76</v>
      </c>
      <c r="C21" s="5" t="s">
        <v>77</v>
      </c>
      <c r="D21" s="6" t="n">
        <v>2709739</v>
      </c>
      <c r="E21" s="7" t="n">
        <v>0.6</v>
      </c>
      <c r="F21" s="6" t="n">
        <v>1625843</v>
      </c>
      <c r="G21" s="6" t="n">
        <v>514850</v>
      </c>
      <c r="H21" s="7" t="n">
        <v>0.19</v>
      </c>
      <c r="I21" s="6" t="n">
        <v>352266</v>
      </c>
      <c r="J21" s="7" t="n">
        <v>0.13</v>
      </c>
      <c r="K21" s="6" t="n">
        <v>135487</v>
      </c>
      <c r="L21" s="7" t="n">
        <v>0.05</v>
      </c>
      <c r="M21" s="6" t="n">
        <v>81292</v>
      </c>
      <c r="N21" s="7" t="n">
        <v>0.03</v>
      </c>
      <c r="O21" s="6" t="n">
        <v>1842623</v>
      </c>
      <c r="P21" s="7" t="n">
        <v>0.68</v>
      </c>
      <c r="Q21" s="6" t="n">
        <v>650337</v>
      </c>
      <c r="R21" s="7" t="n">
        <v>0.24</v>
      </c>
      <c r="S21" s="6" t="n">
        <v>2570433</v>
      </c>
      <c r="T21" s="6" t="n">
        <v>1518008</v>
      </c>
      <c r="U21" s="8" t="n">
        <v>0.590565091562394</v>
      </c>
      <c r="V21" s="6" t="n">
        <v>406897</v>
      </c>
      <c r="W21" s="8" t="n">
        <v>0.158299010322385</v>
      </c>
      <c r="X21" s="6" t="n">
        <v>1551383</v>
      </c>
      <c r="Y21" s="8" t="n">
        <v>0.603591553049447</v>
      </c>
      <c r="Z21" s="6" t="n">
        <v>467065</v>
      </c>
      <c r="AA21" s="8" t="n">
        <v>0.181719464970958</v>
      </c>
      <c r="AB21" s="6" t="n">
        <v>107835</v>
      </c>
      <c r="AC21" s="5"/>
    </row>
    <row r="22" customFormat="false" ht="38" hidden="false" customHeight="true" outlineLevel="0" collapsed="false">
      <c r="B22" s="9" t="s">
        <v>78</v>
      </c>
      <c r="C22" s="9" t="s">
        <v>40</v>
      </c>
      <c r="D22" s="10" t="n">
        <v>8609026</v>
      </c>
      <c r="E22" s="11" t="n">
        <v>0.23</v>
      </c>
      <c r="F22" s="10" t="n">
        <v>1980076</v>
      </c>
      <c r="G22" s="10" t="n">
        <v>3529701</v>
      </c>
      <c r="H22" s="11" t="n">
        <v>0.41</v>
      </c>
      <c r="I22" s="10" t="n">
        <v>1033083</v>
      </c>
      <c r="J22" s="11" t="n">
        <v>0.12</v>
      </c>
      <c r="K22" s="10" t="n">
        <v>602632</v>
      </c>
      <c r="L22" s="11" t="n">
        <v>0.07</v>
      </c>
      <c r="M22" s="10" t="n">
        <v>1463534</v>
      </c>
      <c r="N22" s="11" t="n">
        <v>0.17</v>
      </c>
      <c r="O22" s="9" t="s">
        <v>37</v>
      </c>
      <c r="P22" s="9" t="s">
        <v>37</v>
      </c>
      <c r="Q22" s="9" t="s">
        <v>37</v>
      </c>
      <c r="R22" s="9" t="s">
        <v>37</v>
      </c>
      <c r="S22" s="10" t="n">
        <v>8480435</v>
      </c>
      <c r="T22" s="10" t="n">
        <v>2363492</v>
      </c>
      <c r="U22" s="12" t="n">
        <v>0.278699382755719</v>
      </c>
      <c r="V22" s="10" t="n">
        <v>3628612</v>
      </c>
      <c r="W22" s="12" t="n">
        <v>0.427880409436544</v>
      </c>
      <c r="X22" s="10" t="n">
        <v>2506605</v>
      </c>
      <c r="Y22" s="12" t="n">
        <v>0.295568393182296</v>
      </c>
      <c r="Z22" s="10" t="n">
        <v>4159343</v>
      </c>
      <c r="AA22" s="12" t="n">
        <v>0.4904523557577</v>
      </c>
      <c r="AB22" s="10" t="n">
        <v>-383416</v>
      </c>
      <c r="AC22" s="9"/>
    </row>
    <row r="23" customFormat="false" ht="38" hidden="false" customHeight="true" outlineLevel="0" collapsed="false">
      <c r="B23" s="5" t="s">
        <v>79</v>
      </c>
      <c r="C23" s="5" t="s">
        <v>43</v>
      </c>
      <c r="D23" s="6" t="n">
        <v>12857000</v>
      </c>
      <c r="E23" s="7" t="n">
        <v>0.29</v>
      </c>
      <c r="F23" s="6" t="n">
        <v>3728530</v>
      </c>
      <c r="G23" s="6" t="n">
        <v>3985670</v>
      </c>
      <c r="H23" s="7" t="n">
        <v>0.31</v>
      </c>
      <c r="I23" s="6" t="n">
        <v>1028560</v>
      </c>
      <c r="J23" s="7" t="n">
        <v>0.08</v>
      </c>
      <c r="K23" s="6" t="n">
        <v>2057120</v>
      </c>
      <c r="L23" s="7" t="n">
        <v>0.16</v>
      </c>
      <c r="M23" s="6" t="n">
        <v>2057120</v>
      </c>
      <c r="N23" s="7" t="n">
        <v>0.16</v>
      </c>
      <c r="O23" s="5" t="s">
        <v>37</v>
      </c>
      <c r="P23" s="5" t="s">
        <v>37</v>
      </c>
      <c r="Q23" s="5" t="s">
        <v>37</v>
      </c>
      <c r="R23" s="5" t="s">
        <v>37</v>
      </c>
      <c r="S23" s="6" t="n">
        <v>12826356</v>
      </c>
      <c r="T23" s="6" t="n">
        <v>3847143</v>
      </c>
      <c r="U23" s="8" t="n">
        <v>0.299940450740647</v>
      </c>
      <c r="V23" s="6" t="n">
        <v>4831246</v>
      </c>
      <c r="W23" s="8" t="n">
        <v>0.376665515911144</v>
      </c>
      <c r="X23" s="6" t="n">
        <v>4156217</v>
      </c>
      <c r="Y23" s="8" t="n">
        <v>0.324019859914724</v>
      </c>
      <c r="Z23" s="6" t="n">
        <v>5403894</v>
      </c>
      <c r="AA23" s="8" t="n">
        <v>0.421289113844156</v>
      </c>
      <c r="AB23" s="6" t="n">
        <v>-118613</v>
      </c>
      <c r="AC23" s="5"/>
    </row>
    <row r="24" customFormat="false" ht="38" hidden="false" customHeight="true" outlineLevel="0" collapsed="false">
      <c r="B24" s="9" t="s">
        <v>80</v>
      </c>
      <c r="C24" s="9" t="s">
        <v>40</v>
      </c>
      <c r="D24" s="10" t="n">
        <v>2660565</v>
      </c>
      <c r="E24" s="11" t="n">
        <v>0.54</v>
      </c>
      <c r="F24" s="10" t="n">
        <v>1436705</v>
      </c>
      <c r="G24" s="10" t="n">
        <v>532113</v>
      </c>
      <c r="H24" s="11" t="n">
        <v>0.2</v>
      </c>
      <c r="I24" s="10" t="n">
        <v>159634</v>
      </c>
      <c r="J24" s="11" t="n">
        <v>0.06</v>
      </c>
      <c r="K24" s="10" t="n">
        <v>292662</v>
      </c>
      <c r="L24" s="11" t="n">
        <v>0.11</v>
      </c>
      <c r="M24" s="10" t="n">
        <v>239451</v>
      </c>
      <c r="N24" s="11" t="n">
        <v>0.09</v>
      </c>
      <c r="O24" s="9" t="s">
        <v>37</v>
      </c>
      <c r="P24" s="9" t="s">
        <v>37</v>
      </c>
      <c r="Q24" s="9" t="s">
        <v>37</v>
      </c>
      <c r="R24" s="9" t="s">
        <v>37</v>
      </c>
      <c r="S24" s="10" t="n">
        <v>2554716</v>
      </c>
      <c r="T24" s="10" t="n">
        <v>1264179</v>
      </c>
      <c r="U24" s="12" t="n">
        <v>0.494841305256631</v>
      </c>
      <c r="V24" s="10" t="n">
        <v>622731</v>
      </c>
      <c r="W24" s="12" t="n">
        <v>0.243757427440075</v>
      </c>
      <c r="X24" s="10" t="n">
        <v>1326785</v>
      </c>
      <c r="Y24" s="12" t="n">
        <v>0.519426651100917</v>
      </c>
      <c r="Z24" s="10" t="n">
        <v>711381</v>
      </c>
      <c r="AA24" s="12" t="n">
        <v>0.278500473314683</v>
      </c>
      <c r="AB24" s="10" t="n">
        <v>172526</v>
      </c>
      <c r="AC24" s="9"/>
    </row>
    <row r="25" customFormat="false" ht="38" hidden="false" customHeight="true" outlineLevel="0" collapsed="false">
      <c r="B25" s="5" t="s">
        <v>81</v>
      </c>
      <c r="C25" s="5" t="s">
        <v>43</v>
      </c>
      <c r="D25" s="6" t="n">
        <v>1267105</v>
      </c>
      <c r="E25" s="7" t="n">
        <v>0.25</v>
      </c>
      <c r="F25" s="6" t="n">
        <v>316776</v>
      </c>
      <c r="G25" s="6" t="n">
        <v>570197</v>
      </c>
      <c r="H25" s="7" t="n">
        <v>0.45</v>
      </c>
      <c r="I25" s="6" t="n">
        <v>139382</v>
      </c>
      <c r="J25" s="7" t="n">
        <v>0.11</v>
      </c>
      <c r="K25" s="6" t="n">
        <v>88697</v>
      </c>
      <c r="L25" s="7" t="n">
        <v>0.07</v>
      </c>
      <c r="M25" s="6" t="n">
        <v>152053</v>
      </c>
      <c r="N25" s="7" t="n">
        <v>0.12</v>
      </c>
      <c r="O25" s="5" t="s">
        <v>37</v>
      </c>
      <c r="P25" s="5" t="s">
        <v>37</v>
      </c>
      <c r="Q25" s="5" t="s">
        <v>37</v>
      </c>
      <c r="R25" s="5" t="s">
        <v>37</v>
      </c>
      <c r="S25" s="6" t="n">
        <v>1229998</v>
      </c>
      <c r="T25" s="6" t="n">
        <v>261749</v>
      </c>
      <c r="U25" s="8" t="n">
        <v>0.212804411064083</v>
      </c>
      <c r="V25" s="6" t="n">
        <v>581306</v>
      </c>
      <c r="W25" s="8" t="n">
        <v>0.47260727253215</v>
      </c>
      <c r="X25" s="6" t="n">
        <v>262904</v>
      </c>
      <c r="Y25" s="8" t="n">
        <v>0.213713204332402</v>
      </c>
      <c r="Z25" s="6" t="n">
        <v>633236</v>
      </c>
      <c r="AA25" s="8" t="n">
        <v>0.51475403439519</v>
      </c>
      <c r="AB25" s="6" t="n">
        <v>55027</v>
      </c>
      <c r="AC25" s="5"/>
    </row>
    <row r="26" customFormat="false" ht="54" hidden="false" customHeight="true" outlineLevel="0" collapsed="false">
      <c r="B26" s="9" t="s">
        <v>82</v>
      </c>
      <c r="C26" s="9" t="s">
        <v>83</v>
      </c>
      <c r="D26" s="10" t="n">
        <v>401496</v>
      </c>
      <c r="E26" s="11" t="n">
        <v>0.193</v>
      </c>
      <c r="F26" s="10" t="n">
        <v>77489</v>
      </c>
      <c r="G26" s="10" t="n">
        <v>291486</v>
      </c>
      <c r="H26" s="11" t="n">
        <v>0.726</v>
      </c>
      <c r="I26" s="9" t="s">
        <v>37</v>
      </c>
      <c r="J26" s="9" t="s">
        <v>37</v>
      </c>
      <c r="K26" s="9" t="s">
        <v>37</v>
      </c>
      <c r="L26" s="9" t="s">
        <v>37</v>
      </c>
      <c r="M26" s="9" t="s">
        <v>37</v>
      </c>
      <c r="N26" s="9" t="s">
        <v>37</v>
      </c>
      <c r="O26" s="9" t="s">
        <v>37</v>
      </c>
      <c r="P26" s="9" t="s">
        <v>37</v>
      </c>
      <c r="Q26" s="9" t="s">
        <v>37</v>
      </c>
      <c r="R26" s="9" t="s">
        <v>37</v>
      </c>
      <c r="S26" s="10" t="n">
        <v>366632</v>
      </c>
      <c r="T26" s="10" t="n">
        <v>68760</v>
      </c>
      <c r="U26" s="12" t="n">
        <v>0.187545004254948</v>
      </c>
      <c r="V26" s="10" t="n">
        <v>207587</v>
      </c>
      <c r="W26" s="12" t="n">
        <v>0.566199895262825</v>
      </c>
      <c r="X26" s="10" t="n">
        <v>67128</v>
      </c>
      <c r="Y26" s="12" t="n">
        <v>0.183089179878955</v>
      </c>
      <c r="Z26" s="10" t="n">
        <v>213518</v>
      </c>
      <c r="AA26" s="12" t="n">
        <v>0.582362583562668</v>
      </c>
      <c r="AB26" s="10" t="n">
        <v>8729</v>
      </c>
      <c r="AC26" s="9" t="s">
        <v>84</v>
      </c>
    </row>
    <row r="27" customFormat="false" ht="38" hidden="false" customHeight="true" outlineLevel="0" collapsed="false">
      <c r="B27" s="5" t="s">
        <v>85</v>
      </c>
      <c r="C27" s="5" t="s">
        <v>40</v>
      </c>
      <c r="D27" s="6" t="n">
        <v>8526233</v>
      </c>
      <c r="E27" s="7" t="n">
        <v>0.28</v>
      </c>
      <c r="F27" s="6" t="n">
        <v>2387345</v>
      </c>
      <c r="G27" s="6" t="n">
        <v>2898919</v>
      </c>
      <c r="H27" s="7" t="n">
        <v>0.34</v>
      </c>
      <c r="I27" s="6" t="n">
        <v>852623</v>
      </c>
      <c r="J27" s="7" t="n">
        <v>0.1</v>
      </c>
      <c r="K27" s="6" t="n">
        <v>852623</v>
      </c>
      <c r="L27" s="7" t="n">
        <v>0.1</v>
      </c>
      <c r="M27" s="6" t="n">
        <v>1534722</v>
      </c>
      <c r="N27" s="7" t="n">
        <v>0.18</v>
      </c>
      <c r="O27" s="5" t="s">
        <v>37</v>
      </c>
      <c r="P27" s="5" t="s">
        <v>37</v>
      </c>
      <c r="Q27" s="5" t="s">
        <v>37</v>
      </c>
      <c r="R27" s="5" t="s">
        <v>37</v>
      </c>
      <c r="S27" s="6" t="n">
        <v>8589432</v>
      </c>
      <c r="T27" s="6" t="n">
        <v>2806672</v>
      </c>
      <c r="U27" s="8" t="n">
        <v>0.326758742603702</v>
      </c>
      <c r="V27" s="6" t="n">
        <v>3245023</v>
      </c>
      <c r="W27" s="8" t="n">
        <v>0.377792501296943</v>
      </c>
      <c r="X27" s="6" t="n">
        <v>2891851</v>
      </c>
      <c r="Y27" s="8" t="n">
        <v>0.336665586300963</v>
      </c>
      <c r="Z27" s="6" t="n">
        <v>3733185</v>
      </c>
      <c r="AA27" s="8" t="n">
        <v>0.434612612058837</v>
      </c>
      <c r="AB27" s="6" t="n">
        <v>-419327</v>
      </c>
      <c r="AC27" s="5"/>
    </row>
    <row r="28" customFormat="false" ht="38" hidden="false" customHeight="true" outlineLevel="0" collapsed="false">
      <c r="B28" s="9" t="s">
        <v>87</v>
      </c>
      <c r="C28" s="9" t="s">
        <v>40</v>
      </c>
      <c r="D28" s="10" t="n">
        <v>5725753</v>
      </c>
      <c r="E28" s="11" t="n">
        <v>0.2</v>
      </c>
      <c r="F28" s="10" t="n">
        <v>1145151</v>
      </c>
      <c r="G28" s="10" t="n">
        <v>2576589</v>
      </c>
      <c r="H28" s="11" t="n">
        <v>0.45</v>
      </c>
      <c r="I28" s="10" t="n">
        <v>801605</v>
      </c>
      <c r="J28" s="11" t="n">
        <v>0.14</v>
      </c>
      <c r="K28" s="10" t="n">
        <v>458060</v>
      </c>
      <c r="L28" s="11" t="n">
        <v>0.08</v>
      </c>
      <c r="M28" s="10" t="n">
        <v>744348</v>
      </c>
      <c r="N28" s="11" t="n">
        <v>0.13</v>
      </c>
      <c r="O28" s="9" t="s">
        <v>37</v>
      </c>
      <c r="P28" s="9" t="s">
        <v>37</v>
      </c>
      <c r="Q28" s="9" t="s">
        <v>37</v>
      </c>
      <c r="R28" s="9" t="s">
        <v>37</v>
      </c>
      <c r="S28" s="10" t="n">
        <v>5501478</v>
      </c>
      <c r="T28" s="10" t="n">
        <v>1279216</v>
      </c>
      <c r="U28" s="12" t="n">
        <v>0.232522242204731</v>
      </c>
      <c r="V28" s="10" t="n">
        <v>2694406</v>
      </c>
      <c r="W28" s="12" t="n">
        <v>0.489760388026636</v>
      </c>
      <c r="X28" s="10" t="n">
        <v>1351918</v>
      </c>
      <c r="Y28" s="12" t="n">
        <v>0.24574590222937</v>
      </c>
      <c r="Z28" s="10" t="n">
        <v>3047630</v>
      </c>
      <c r="AA28" s="12" t="n">
        <v>0.553985215087969</v>
      </c>
      <c r="AB28" s="10" t="n">
        <v>-134065</v>
      </c>
      <c r="AC28" s="9"/>
    </row>
    <row r="29" customFormat="false" ht="70" hidden="false" customHeight="true" outlineLevel="0" collapsed="false">
      <c r="B29" s="5" t="s">
        <v>88</v>
      </c>
      <c r="C29" s="5" t="s">
        <v>89</v>
      </c>
      <c r="D29" s="6" t="n">
        <v>1740240</v>
      </c>
      <c r="E29" s="7" t="n">
        <v>0.6</v>
      </c>
      <c r="F29" s="6" t="n">
        <v>1044144</v>
      </c>
      <c r="G29" s="6" t="n">
        <v>400255</v>
      </c>
      <c r="H29" s="7" t="n">
        <v>0.23</v>
      </c>
      <c r="I29" s="6" t="n">
        <v>191426</v>
      </c>
      <c r="J29" s="7" t="n">
        <v>0.11</v>
      </c>
      <c r="K29" s="6" t="n">
        <v>52207</v>
      </c>
      <c r="L29" s="7" t="n">
        <v>0.03</v>
      </c>
      <c r="M29" s="6" t="n">
        <v>52207</v>
      </c>
      <c r="N29" s="7" t="n">
        <v>0.03</v>
      </c>
      <c r="O29" s="6" t="n">
        <v>1096351</v>
      </c>
      <c r="P29" s="7" t="n">
        <v>0.63</v>
      </c>
      <c r="Q29" s="6" t="n">
        <v>469865</v>
      </c>
      <c r="R29" s="7" t="n">
        <v>0.27</v>
      </c>
      <c r="S29" s="6" t="n">
        <v>1671376</v>
      </c>
      <c r="T29" s="6" t="n">
        <v>828716</v>
      </c>
      <c r="U29" s="8" t="n">
        <v>0.495828586745292</v>
      </c>
      <c r="V29" s="6" t="n">
        <v>378610</v>
      </c>
      <c r="W29" s="8" t="n">
        <v>0.226525928336891</v>
      </c>
      <c r="X29" s="6" t="n">
        <v>862951</v>
      </c>
      <c r="Y29" s="8" t="n">
        <v>0.516353416413312</v>
      </c>
      <c r="Z29" s="6" t="n">
        <v>421086</v>
      </c>
      <c r="AA29" s="8" t="n">
        <v>0.251960070390805</v>
      </c>
      <c r="AB29" s="6" t="n">
        <v>215428</v>
      </c>
      <c r="AC29" s="5" t="s">
        <v>90</v>
      </c>
    </row>
    <row r="30" customFormat="false" ht="38" hidden="false" customHeight="true" outlineLevel="0" collapsed="false">
      <c r="B30" s="9" t="s">
        <v>93</v>
      </c>
      <c r="C30" s="9" t="s">
        <v>43</v>
      </c>
      <c r="D30" s="10" t="n">
        <v>34104226</v>
      </c>
      <c r="E30" s="11" t="n">
        <v>0.29</v>
      </c>
      <c r="F30" s="10" t="n">
        <v>9890226</v>
      </c>
      <c r="G30" s="10" t="n">
        <v>10231268</v>
      </c>
      <c r="H30" s="11" t="n">
        <v>0.3</v>
      </c>
      <c r="I30" s="10" t="n">
        <v>5115634</v>
      </c>
      <c r="J30" s="11" t="n">
        <v>0.15</v>
      </c>
      <c r="K30" s="10" t="n">
        <v>4092507</v>
      </c>
      <c r="L30" s="11" t="n">
        <v>0.12</v>
      </c>
      <c r="M30" s="10" t="n">
        <v>4433549</v>
      </c>
      <c r="N30" s="11" t="n">
        <v>0.13</v>
      </c>
      <c r="O30" s="9" t="s">
        <v>37</v>
      </c>
      <c r="P30" s="9" t="s">
        <v>37</v>
      </c>
      <c r="Q30" s="9" t="s">
        <v>37</v>
      </c>
      <c r="R30" s="9" t="s">
        <v>37</v>
      </c>
      <c r="S30" s="10" t="n">
        <v>34684927</v>
      </c>
      <c r="T30" s="10" t="n">
        <v>10490032</v>
      </c>
      <c r="U30" s="12" t="n">
        <v>0.302437770735397</v>
      </c>
      <c r="V30" s="10" t="n">
        <v>12239989</v>
      </c>
      <c r="W30" s="12" t="n">
        <v>0.352890723973558</v>
      </c>
      <c r="X30" s="10" t="n">
        <v>11519882</v>
      </c>
      <c r="Y30" s="12" t="n">
        <v>0.332129830880756</v>
      </c>
      <c r="Z30" s="10" t="n">
        <v>14216587</v>
      </c>
      <c r="AA30" s="12" t="n">
        <v>0.409878559173745</v>
      </c>
      <c r="AB30" s="10" t="n">
        <v>-599806</v>
      </c>
      <c r="AC30" s="9" t="s">
        <v>94</v>
      </c>
    </row>
    <row r="31" customFormat="false" ht="38" hidden="false" customHeight="true" outlineLevel="0" collapsed="false">
      <c r="B31" s="5" t="s">
        <v>97</v>
      </c>
      <c r="C31" s="5" t="s">
        <v>43</v>
      </c>
      <c r="D31" s="6" t="n">
        <v>1182307</v>
      </c>
      <c r="E31" s="7" t="n">
        <v>0.37</v>
      </c>
      <c r="F31" s="6" t="n">
        <v>437454</v>
      </c>
      <c r="G31" s="6" t="n">
        <v>378338</v>
      </c>
      <c r="H31" s="7" t="n">
        <v>0.32</v>
      </c>
      <c r="I31" s="6" t="n">
        <v>189169</v>
      </c>
      <c r="J31" s="7" t="n">
        <v>0.16</v>
      </c>
      <c r="K31" s="6" t="n">
        <v>59115</v>
      </c>
      <c r="L31" s="7" t="n">
        <v>0.05</v>
      </c>
      <c r="M31" s="6" t="n">
        <v>118231</v>
      </c>
      <c r="N31" s="7" t="n">
        <v>0.1</v>
      </c>
      <c r="O31" s="5" t="s">
        <v>37</v>
      </c>
      <c r="P31" s="5" t="s">
        <v>37</v>
      </c>
      <c r="Q31" s="5" t="s">
        <v>37</v>
      </c>
      <c r="R31" s="5" t="s">
        <v>37</v>
      </c>
      <c r="S31" s="6" t="n">
        <v>1094346</v>
      </c>
      <c r="T31" s="6" t="n">
        <v>434303</v>
      </c>
      <c r="U31" s="8" t="n">
        <v>0.396860773466527</v>
      </c>
      <c r="V31" s="6" t="n">
        <v>379194</v>
      </c>
      <c r="W31" s="8" t="n">
        <v>0.346502842793778</v>
      </c>
      <c r="X31" s="6" t="n">
        <v>434593</v>
      </c>
      <c r="Y31" s="8" t="n">
        <v>0.397141739666015</v>
      </c>
      <c r="Z31" s="6" t="n">
        <v>411654</v>
      </c>
      <c r="AA31" s="8" t="n">
        <v>0.376179518999326</v>
      </c>
      <c r="AB31" s="6" t="n">
        <v>3151</v>
      </c>
      <c r="AC31" s="5"/>
    </row>
    <row r="32" customFormat="false" ht="54" hidden="false" customHeight="true" outlineLevel="0" collapsed="false">
      <c r="B32" s="9" t="s">
        <v>98</v>
      </c>
      <c r="C32" s="9" t="s">
        <v>99</v>
      </c>
      <c r="D32" s="10" t="n">
        <v>158745463</v>
      </c>
      <c r="E32" s="11" t="n">
        <v>0.41</v>
      </c>
      <c r="F32" s="10" t="n">
        <v>65085640</v>
      </c>
      <c r="G32" s="10" t="n">
        <v>58735821</v>
      </c>
      <c r="H32" s="11" t="n">
        <v>0.37</v>
      </c>
      <c r="I32" s="10" t="n">
        <v>22224365</v>
      </c>
      <c r="J32" s="11" t="n">
        <v>0.14</v>
      </c>
      <c r="K32" s="10" t="n">
        <v>7937273</v>
      </c>
      <c r="L32" s="11" t="n">
        <v>0.05</v>
      </c>
      <c r="M32" s="10" t="n">
        <v>4762364</v>
      </c>
      <c r="N32" s="11" t="n">
        <v>0.03</v>
      </c>
      <c r="O32" s="10" t="n">
        <v>73022913</v>
      </c>
      <c r="P32" s="11" t="n">
        <v>0.46</v>
      </c>
      <c r="Q32" s="10" t="n">
        <v>71435458</v>
      </c>
      <c r="R32" s="11" t="n">
        <v>0.45</v>
      </c>
      <c r="S32" s="10" t="n">
        <v>156454011</v>
      </c>
      <c r="T32" s="10" t="n">
        <v>57259504</v>
      </c>
      <c r="U32" s="12" t="n">
        <v>0.365982972465947</v>
      </c>
      <c r="V32" s="10" t="n">
        <v>51072345</v>
      </c>
      <c r="W32" s="12" t="n">
        <v>0.32643678914694</v>
      </c>
      <c r="X32" s="10" t="n">
        <v>60345999</v>
      </c>
      <c r="Y32" s="12" t="n">
        <v>0.385710782448396</v>
      </c>
      <c r="Z32" s="10" t="n">
        <v>58206354</v>
      </c>
      <c r="AA32" s="12" t="n">
        <v>0.372034910629424</v>
      </c>
      <c r="AB32" s="10" t="n">
        <v>7826136</v>
      </c>
      <c r="AC32" s="9" t="s">
        <v>100</v>
      </c>
    </row>
    <row r="33" customFormat="false" ht="22" hidden="false" customHeight="true" outlineLevel="0" collapsed="false">
      <c r="B33" s="5" t="s">
        <v>98</v>
      </c>
      <c r="C33" s="5" t="s">
        <v>54</v>
      </c>
      <c r="D33" s="6" t="n">
        <v>158745463</v>
      </c>
      <c r="E33" s="7" t="n">
        <v>0.39</v>
      </c>
      <c r="F33" s="6" t="n">
        <v>61910731</v>
      </c>
      <c r="G33" s="6" t="n">
        <v>52386003</v>
      </c>
      <c r="H33" s="7" t="n">
        <v>0.33</v>
      </c>
      <c r="I33" s="6" t="n">
        <v>28574183</v>
      </c>
      <c r="J33" s="7" t="n">
        <v>0.18</v>
      </c>
      <c r="K33" s="6" t="n">
        <v>9524728</v>
      </c>
      <c r="L33" s="7" t="n">
        <v>0.06</v>
      </c>
      <c r="M33" s="6" t="n">
        <v>6349819</v>
      </c>
      <c r="N33" s="7" t="n">
        <v>0.04</v>
      </c>
      <c r="O33" s="6" t="n">
        <v>74610368</v>
      </c>
      <c r="P33" s="7" t="n">
        <v>0.47</v>
      </c>
      <c r="Q33" s="6" t="n">
        <v>68260549</v>
      </c>
      <c r="R33" s="7" t="n">
        <v>0.43</v>
      </c>
      <c r="S33" s="6" t="n">
        <v>156454011</v>
      </c>
      <c r="T33" s="6" t="n">
        <v>57259504</v>
      </c>
      <c r="U33" s="8" t="n">
        <v>0.365982972465947</v>
      </c>
      <c r="V33" s="6" t="n">
        <v>51072345</v>
      </c>
      <c r="W33" s="8" t="n">
        <v>0.32643678914694</v>
      </c>
      <c r="X33" s="6" t="n">
        <v>60345999</v>
      </c>
      <c r="Y33" s="8" t="n">
        <v>0.385710782448396</v>
      </c>
      <c r="Z33" s="6" t="n">
        <v>58206354</v>
      </c>
      <c r="AA33" s="8" t="n">
        <v>0.372034910629424</v>
      </c>
      <c r="AB33" s="6" t="n">
        <v>4651227</v>
      </c>
      <c r="AC33" s="5"/>
    </row>
  </sheetData>
  <mergeCells count="5">
    <mergeCell ref="B2:AC2"/>
    <mergeCell ref="B3:D3"/>
    <mergeCell ref="E3:N3"/>
    <mergeCell ref="O3:R3"/>
    <mergeCell ref="S3:AA3"/>
  </mergeCells>
  <conditionalFormatting sqref="AB5:AB3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B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41"/>
    <col collapsed="false" customWidth="true" hidden="false" outlineLevel="0" max="5" min="5" style="0" width="32"/>
  </cols>
  <sheetData>
    <row r="1" customFormat="false" ht="15" hidden="false" customHeight="true" outlineLevel="0" collapsed="false"/>
    <row r="2" customFormat="false" ht="32" hidden="false" customHeight="true" outlineLevel="0" collapsed="false">
      <c r="B2" s="1" t="s">
        <v>102</v>
      </c>
      <c r="C2" s="1"/>
      <c r="D2" s="1"/>
      <c r="E2" s="1"/>
    </row>
    <row r="3" customFormat="false" ht="8" hidden="false" customHeight="true" outlineLevel="0" collapsed="false"/>
    <row r="4" customFormat="false" ht="28" hidden="false" customHeight="true" outlineLevel="0" collapsed="false">
      <c r="B4" s="4" t="s">
        <v>103</v>
      </c>
      <c r="C4" s="4" t="s">
        <v>104</v>
      </c>
      <c r="D4" s="4" t="s">
        <v>105</v>
      </c>
      <c r="E4" s="4" t="s">
        <v>106</v>
      </c>
    </row>
    <row r="5" customFormat="false" ht="38" hidden="false" customHeight="true" outlineLevel="0" collapsed="false">
      <c r="B5" s="5" t="s">
        <v>107</v>
      </c>
      <c r="C5" s="5" t="n">
        <v>157828570</v>
      </c>
      <c r="D5" s="5" t="n">
        <f aca="false">SUM('Principais (1 por UF)'!D5:D31)</f>
        <v>157828570</v>
      </c>
      <c r="E5" s="5" t="str">
        <f aca="false">IF(C5=D5,"✓ PASS","✗ FAIL")</f>
        <v>✓ PASS</v>
      </c>
    </row>
    <row r="6" customFormat="false" ht="22" hidden="false" customHeight="true" outlineLevel="0" collapsed="false">
      <c r="B6" s="9" t="s">
        <v>108</v>
      </c>
      <c r="C6" s="9" t="n">
        <v>158745463</v>
      </c>
      <c r="D6" s="9" t="n">
        <f aca="false">'Principais (1 por UF)'!D32</f>
        <v>158745463</v>
      </c>
      <c r="E6" s="9" t="str">
        <f aca="false">IF(C6=D6,"✓ PASS","✗ FAIL")</f>
        <v>✓ PASS</v>
      </c>
    </row>
    <row r="7" customFormat="false" ht="22" hidden="false" customHeight="true" outlineLevel="0" collapsed="false">
      <c r="B7" s="5" t="s">
        <v>109</v>
      </c>
      <c r="C7" s="5" t="n">
        <v>57259504</v>
      </c>
      <c r="D7" s="5" t="n">
        <f aca="false">'Principais (1 por UF)'!T32</f>
        <v>57259504</v>
      </c>
      <c r="E7" s="5" t="str">
        <f aca="false">IF(C7=D7,"✓ PASS","✗ FAIL")</f>
        <v>✓ PASS</v>
      </c>
    </row>
    <row r="8" customFormat="false" ht="22" hidden="false" customHeight="true" outlineLevel="0" collapsed="false">
      <c r="B8" s="9" t="s">
        <v>110</v>
      </c>
      <c r="C8" s="9" t="n">
        <v>58206354</v>
      </c>
      <c r="D8" s="9" t="n">
        <f aca="false">'Principais (1 por UF)'!Z32</f>
        <v>58206354</v>
      </c>
      <c r="E8" s="9" t="str">
        <f aca="false">IF(C8=D8,"✓ PASS","✗ FAIL")</f>
        <v>✓ PASS</v>
      </c>
    </row>
    <row r="9" customFormat="false" ht="22" hidden="false" customHeight="true" outlineLevel="0" collapsed="false">
      <c r="B9" s="5" t="s">
        <v>111</v>
      </c>
      <c r="C9" s="5" t="n">
        <v>38</v>
      </c>
      <c r="D9" s="5" t="n">
        <f aca="false">COUNTA('Todas as pesquisas'!B5:B42)</f>
        <v>38</v>
      </c>
      <c r="E9" s="5" t="str">
        <f aca="false">IF(C9=D9,"✓ PASS","✗ FAIL")</f>
        <v>✓ PASS</v>
      </c>
    </row>
    <row r="10" customFormat="false" ht="38" hidden="false" customHeight="true" outlineLevel="0" collapsed="false">
      <c r="B10" s="9" t="s">
        <v>112</v>
      </c>
      <c r="C10" s="9" t="n">
        <v>29</v>
      </c>
      <c r="D10" s="9" t="n">
        <f aca="false">COUNTA('Principais (1 por UF)'!B5:B33)</f>
        <v>29</v>
      </c>
      <c r="E10" s="9" t="str">
        <f aca="false">IF(C10=D10,"✓ PASS","✗ FAIL")</f>
        <v>✓ PASS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20"/>
  </cols>
  <sheetData>
    <row r="1" customFormat="false" ht="15" hidden="false" customHeight="true" outlineLevel="0" collapsed="false"/>
    <row r="2" customFormat="false" ht="32" hidden="false" customHeight="true" outlineLevel="0" collapsed="false">
      <c r="B2" s="1" t="s">
        <v>113</v>
      </c>
      <c r="C2" s="1"/>
    </row>
    <row r="3" customFormat="false" ht="8" hidden="false" customHeight="true" outlineLevel="0" collapsed="false"/>
    <row r="4" customFormat="false" ht="30" hidden="false" customHeight="true" outlineLevel="0" collapsed="false">
      <c r="B4" s="13" t="s">
        <v>114</v>
      </c>
      <c r="C4" s="14"/>
    </row>
    <row r="5" customFormat="false" ht="46" hidden="false" customHeight="true" outlineLevel="0" collapsed="false">
      <c r="B5" s="13" t="s">
        <v>115</v>
      </c>
      <c r="C5" s="14" t="s">
        <v>116</v>
      </c>
    </row>
    <row r="6" customFormat="false" ht="46" hidden="false" customHeight="true" outlineLevel="0" collapsed="false">
      <c r="B6" s="13" t="s">
        <v>117</v>
      </c>
      <c r="C6" s="14" t="s">
        <v>118</v>
      </c>
    </row>
    <row r="7" customFormat="false" ht="46" hidden="false" customHeight="true" outlineLevel="0" collapsed="false">
      <c r="B7" s="13" t="s">
        <v>119</v>
      </c>
      <c r="C7" s="14" t="s">
        <v>120</v>
      </c>
    </row>
    <row r="8" customFormat="false" ht="46" hidden="false" customHeight="true" outlineLevel="0" collapsed="false">
      <c r="B8" s="13" t="s">
        <v>121</v>
      </c>
      <c r="C8" s="14" t="s">
        <v>122</v>
      </c>
    </row>
    <row r="9" customFormat="false" ht="30" hidden="false" customHeight="true" outlineLevel="0" collapsed="false">
      <c r="B9" s="13" t="s">
        <v>123</v>
      </c>
      <c r="C9" s="14" t="s">
        <v>124</v>
      </c>
    </row>
    <row r="10" customFormat="false" ht="46" hidden="false" customHeight="true" outlineLevel="0" collapsed="false">
      <c r="B10" s="13" t="s">
        <v>125</v>
      </c>
      <c r="C10" s="14" t="s">
        <v>126</v>
      </c>
    </row>
    <row r="11" customFormat="false" ht="30" hidden="false" customHeight="true" outlineLevel="0" collapsed="false">
      <c r="B11" s="13" t="s">
        <v>127</v>
      </c>
      <c r="C11" s="14" t="s">
        <v>128</v>
      </c>
    </row>
    <row r="12" customFormat="false" ht="30" hidden="false" customHeight="true" outlineLevel="0" collapsed="false">
      <c r="B12" s="13" t="s">
        <v>42</v>
      </c>
      <c r="C12" s="14" t="s">
        <v>129</v>
      </c>
    </row>
    <row r="13" customFormat="false" ht="30" hidden="false" customHeight="true" outlineLevel="0" collapsed="false">
      <c r="B13" s="13" t="s">
        <v>60</v>
      </c>
      <c r="C13" s="14" t="s">
        <v>130</v>
      </c>
    </row>
    <row r="14" customFormat="false" ht="46" hidden="false" customHeight="true" outlineLevel="0" collapsed="false">
      <c r="B14" s="13" t="s">
        <v>88</v>
      </c>
      <c r="C14" s="14" t="s">
        <v>131</v>
      </c>
    </row>
    <row r="15" customFormat="false" ht="30" hidden="false" customHeight="true" outlineLevel="0" collapsed="false">
      <c r="B15" s="13" t="s">
        <v>132</v>
      </c>
      <c r="C15" s="14" t="s">
        <v>133</v>
      </c>
    </row>
    <row r="16" customFormat="false" ht="46" hidden="false" customHeight="true" outlineLevel="0" collapsed="false">
      <c r="B16" s="13" t="s">
        <v>134</v>
      </c>
      <c r="C16" s="14" t="s">
        <v>135</v>
      </c>
    </row>
    <row r="17" customFormat="false" ht="46" hidden="false" customHeight="true" outlineLevel="0" collapsed="false">
      <c r="B17" s="13" t="s">
        <v>136</v>
      </c>
      <c r="C17" s="14" t="s">
        <v>137</v>
      </c>
    </row>
    <row r="18" customFormat="false" ht="30" hidden="false" customHeight="true" outlineLevel="0" collapsed="false">
      <c r="B18" s="13" t="s">
        <v>138</v>
      </c>
      <c r="C18" s="14" t="s">
        <v>139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2026-08-26T14:37:24Z</dcterms:created>
  <dc:creator>ZCode/Kimi K3</dc:creator>
  <dc:description/>
  <dc:language>pt-BR</dc:language>
  <cp:lastModifiedBy/>
  <dcterms:modified xsi:type="dcterms:W3CDTF">2026-08-26T14:37:24Z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